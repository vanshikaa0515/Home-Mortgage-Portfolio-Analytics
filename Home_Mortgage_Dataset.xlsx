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M1 material\INTERVIEW\JP Morgan chase and co. interview practice sheet\"/>
    </mc:Choice>
  </mc:AlternateContent>
  <xr:revisionPtr revIDLastSave="0" documentId="13_ncr:1_{30E540E9-C185-4B4B-A84A-EA5D001E34C1}" xr6:coauthVersionLast="47" xr6:coauthVersionMax="47" xr10:uidLastSave="{00000000-0000-0000-0000-000000000000}"/>
  <bookViews>
    <workbookView xWindow="-108" yWindow="-108" windowWidth="23256" windowHeight="12456" firstSheet="2" activeTab="8" xr2:uid="{F16BDB21-FD9B-44CC-892E-7814B09ECC27}"/>
  </bookViews>
  <sheets>
    <sheet name="Data" sheetId="1" r:id="rId1"/>
    <sheet name="Pivot table" sheetId="2" r:id="rId2"/>
    <sheet name="Dashboard" sheetId="3" r:id="rId3"/>
    <sheet name="Model 1" sheetId="6" r:id="rId4"/>
    <sheet name="Model 2" sheetId="7" r:id="rId5"/>
    <sheet name="Model 3" sheetId="18" r:id="rId6"/>
    <sheet name="Model 4" sheetId="24" r:id="rId7"/>
    <sheet name="Residual plots for model" sheetId="29" r:id="rId8"/>
    <sheet name="Dashboard 2" sheetId="25" r:id="rId9"/>
  </sheets>
  <definedNames>
    <definedName name="Slicer_Golden_pool_target_borrowers">#N/A</definedName>
    <definedName name="Slicer_LTV">#N/A</definedName>
    <definedName name="Slicer_Minority_range">#N/A</definedName>
    <definedName name="Slicer_Silver_pool_target_borrowers">#N/A</definedName>
    <definedName name="Slicer_Wide_Area_Location_Code">#N/A</definedName>
    <definedName name="solver_eng" localSheetId="0" hidden="1">1</definedName>
    <definedName name="solver_neg" localSheetId="0" hidden="1">1</definedName>
    <definedName name="solver_num" localSheetId="0" hidden="1">0</definedName>
    <definedName name="solver_opt" localSheetId="0" hidden="1">Data!#REF!</definedName>
    <definedName name="solver_typ" localSheetId="0" hidden="1">1</definedName>
    <definedName name="solver_val" localSheetId="0" hidden="1">0</definedName>
    <definedName name="solver_ver" localSheetId="0" hidden="1">3</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7" i="1" l="1"/>
  <c r="AC26" i="1"/>
  <c r="Z18" i="1"/>
  <c r="Z24" i="1" l="1"/>
  <c r="AC19" i="1"/>
  <c r="AC18" i="1"/>
  <c r="AC14" i="1"/>
  <c r="AC9" i="1"/>
  <c r="AC8" i="1"/>
  <c r="Z15" i="1"/>
  <c r="Z19" i="1"/>
  <c r="Z17" i="1"/>
  <c r="Z16" i="1"/>
  <c r="L8" i="1"/>
  <c r="N8" i="1" s="1"/>
  <c r="T8" i="1" l="1"/>
  <c r="M8" i="1"/>
  <c r="AC10" i="1"/>
  <c r="L9" i="1"/>
  <c r="T9" i="1" s="1"/>
  <c r="L10" i="1"/>
  <c r="T10" i="1" s="1"/>
  <c r="L11" i="1"/>
  <c r="T11" i="1" s="1"/>
  <c r="L12" i="1"/>
  <c r="T12" i="1" s="1"/>
  <c r="L13" i="1"/>
  <c r="T13" i="1" s="1"/>
  <c r="L14" i="1"/>
  <c r="T14" i="1" s="1"/>
  <c r="L15" i="1"/>
  <c r="T15" i="1" s="1"/>
  <c r="L16" i="1"/>
  <c r="T16" i="1" s="1"/>
  <c r="L17" i="1"/>
  <c r="T17" i="1" s="1"/>
  <c r="L18" i="1"/>
  <c r="T18" i="1" s="1"/>
  <c r="L19" i="1"/>
  <c r="L20" i="1"/>
  <c r="T20" i="1" s="1"/>
  <c r="L21" i="1"/>
  <c r="T21" i="1" s="1"/>
  <c r="L22" i="1"/>
  <c r="T22" i="1" s="1"/>
  <c r="L23" i="1"/>
  <c r="T23" i="1" s="1"/>
  <c r="L24" i="1"/>
  <c r="L25" i="1"/>
  <c r="T25" i="1" s="1"/>
  <c r="L26" i="1"/>
  <c r="T26" i="1" s="1"/>
  <c r="L27" i="1"/>
  <c r="T27" i="1" s="1"/>
  <c r="L28" i="1"/>
  <c r="L29" i="1"/>
  <c r="L30" i="1"/>
  <c r="T30" i="1" s="1"/>
  <c r="L31" i="1"/>
  <c r="L32" i="1"/>
  <c r="T32" i="1" s="1"/>
  <c r="L33" i="1"/>
  <c r="T33" i="1" s="1"/>
  <c r="L34" i="1"/>
  <c r="T34" i="1" s="1"/>
  <c r="L35" i="1"/>
  <c r="T35" i="1" s="1"/>
  <c r="L36" i="1"/>
  <c r="T36" i="1" s="1"/>
  <c r="L37" i="1"/>
  <c r="T37" i="1" s="1"/>
  <c r="L38" i="1"/>
  <c r="L39" i="1"/>
  <c r="L40" i="1"/>
  <c r="T40" i="1" s="1"/>
  <c r="L41" i="1"/>
  <c r="T41" i="1" s="1"/>
  <c r="L42" i="1"/>
  <c r="T42" i="1" s="1"/>
  <c r="L43" i="1"/>
  <c r="T43" i="1" s="1"/>
  <c r="L44" i="1"/>
  <c r="T44" i="1" s="1"/>
  <c r="L45" i="1"/>
  <c r="T45" i="1" s="1"/>
  <c r="L46" i="1"/>
  <c r="T46" i="1" s="1"/>
  <c r="L47" i="1"/>
  <c r="L48" i="1"/>
  <c r="T48" i="1" s="1"/>
  <c r="L49" i="1"/>
  <c r="T49" i="1" s="1"/>
  <c r="L50" i="1"/>
  <c r="T50" i="1" s="1"/>
  <c r="L51" i="1"/>
  <c r="T51" i="1" s="1"/>
  <c r="L52" i="1"/>
  <c r="L53" i="1"/>
  <c r="T53" i="1" s="1"/>
  <c r="L54" i="1"/>
  <c r="T54" i="1" s="1"/>
  <c r="L55" i="1"/>
  <c r="T55" i="1" s="1"/>
  <c r="L56" i="1"/>
  <c r="L57" i="1"/>
  <c r="T57" i="1" s="1"/>
  <c r="L58" i="1"/>
  <c r="T58" i="1" s="1"/>
  <c r="L59" i="1"/>
  <c r="T59" i="1" s="1"/>
  <c r="L60" i="1"/>
  <c r="T60" i="1" s="1"/>
  <c r="L61" i="1"/>
  <c r="T61" i="1" s="1"/>
  <c r="L62" i="1"/>
  <c r="T62" i="1" s="1"/>
  <c r="L63" i="1"/>
  <c r="T63" i="1" s="1"/>
  <c r="L64" i="1"/>
  <c r="T64" i="1" s="1"/>
  <c r="L65" i="1"/>
  <c r="T65" i="1" s="1"/>
  <c r="L66" i="1"/>
  <c r="T66" i="1" s="1"/>
  <c r="L67" i="1"/>
  <c r="T67" i="1" s="1"/>
  <c r="L68" i="1"/>
  <c r="T68" i="1" s="1"/>
  <c r="L69" i="1"/>
  <c r="T69" i="1" s="1"/>
  <c r="L70" i="1"/>
  <c r="T70" i="1" s="1"/>
  <c r="L71" i="1"/>
  <c r="T71" i="1" s="1"/>
  <c r="L72" i="1"/>
  <c r="T72" i="1" s="1"/>
  <c r="L73" i="1"/>
  <c r="T73" i="1" s="1"/>
  <c r="L74" i="1"/>
  <c r="T74" i="1" s="1"/>
  <c r="L75" i="1"/>
  <c r="T75" i="1" s="1"/>
  <c r="L76" i="1"/>
  <c r="L77" i="1"/>
  <c r="T77" i="1" s="1"/>
  <c r="L78" i="1"/>
  <c r="T78" i="1" s="1"/>
  <c r="L79" i="1"/>
  <c r="L80" i="1"/>
  <c r="T80" i="1" s="1"/>
  <c r="L81" i="1"/>
  <c r="T81" i="1" s="1"/>
  <c r="L82" i="1"/>
  <c r="T82" i="1" s="1"/>
  <c r="L83" i="1"/>
  <c r="T83" i="1" s="1"/>
  <c r="L84" i="1"/>
  <c r="T84" i="1" s="1"/>
  <c r="L85" i="1"/>
  <c r="T85" i="1" s="1"/>
  <c r="L86" i="1"/>
  <c r="L87" i="1"/>
  <c r="T87" i="1" s="1"/>
  <c r="L88" i="1"/>
  <c r="T88" i="1" s="1"/>
  <c r="L89" i="1"/>
  <c r="T89" i="1" s="1"/>
  <c r="L90" i="1"/>
  <c r="T90" i="1" s="1"/>
  <c r="L91" i="1"/>
  <c r="T91" i="1" s="1"/>
  <c r="L92" i="1"/>
  <c r="T92" i="1" s="1"/>
  <c r="L93" i="1"/>
  <c r="T93" i="1" s="1"/>
  <c r="L94" i="1"/>
  <c r="T94" i="1" s="1"/>
  <c r="L95" i="1"/>
  <c r="T95" i="1" s="1"/>
  <c r="L96" i="1"/>
  <c r="T96" i="1" s="1"/>
  <c r="L97" i="1"/>
  <c r="L98" i="1"/>
  <c r="T98" i="1" s="1"/>
  <c r="L99" i="1"/>
  <c r="T99" i="1" s="1"/>
  <c r="L100" i="1"/>
  <c r="T100" i="1" s="1"/>
  <c r="L101" i="1"/>
  <c r="T101" i="1" s="1"/>
  <c r="L102" i="1"/>
  <c r="T102" i="1" s="1"/>
  <c r="L103" i="1"/>
  <c r="T103" i="1" s="1"/>
  <c r="L104" i="1"/>
  <c r="T104" i="1" s="1"/>
  <c r="L105" i="1"/>
  <c r="T105" i="1" s="1"/>
  <c r="L106" i="1"/>
  <c r="T106" i="1" s="1"/>
  <c r="L107" i="1"/>
  <c r="T107" i="1" s="1"/>
  <c r="L108" i="1"/>
  <c r="T108" i="1" s="1"/>
  <c r="L109" i="1"/>
  <c r="T109" i="1" s="1"/>
  <c r="L110" i="1"/>
  <c r="T110" i="1" s="1"/>
  <c r="L111" i="1"/>
  <c r="T111" i="1" s="1"/>
  <c r="L112" i="1"/>
  <c r="T112" i="1" s="1"/>
  <c r="L113" i="1"/>
  <c r="T113" i="1" s="1"/>
  <c r="L114" i="1"/>
  <c r="L115" i="1"/>
  <c r="T115" i="1" s="1"/>
  <c r="L116" i="1"/>
  <c r="T116" i="1" s="1"/>
  <c r="L117" i="1"/>
  <c r="T117" i="1" s="1"/>
  <c r="L118" i="1"/>
  <c r="T118" i="1" s="1"/>
  <c r="L119" i="1"/>
  <c r="T119" i="1" s="1"/>
  <c r="L120" i="1"/>
  <c r="T120" i="1" s="1"/>
  <c r="L121" i="1"/>
  <c r="T121" i="1" s="1"/>
  <c r="L122" i="1"/>
  <c r="L123" i="1"/>
  <c r="L124" i="1"/>
  <c r="T124" i="1" s="1"/>
  <c r="L125" i="1"/>
  <c r="T125" i="1" s="1"/>
  <c r="L126" i="1"/>
  <c r="L127" i="1"/>
  <c r="T127" i="1" s="1"/>
  <c r="L128" i="1"/>
  <c r="T128" i="1" s="1"/>
  <c r="L129" i="1"/>
  <c r="T129" i="1" s="1"/>
  <c r="L130" i="1"/>
  <c r="T130" i="1" s="1"/>
  <c r="L131" i="1"/>
  <c r="T131" i="1" s="1"/>
  <c r="L132" i="1"/>
  <c r="T132" i="1" s="1"/>
  <c r="L133" i="1"/>
  <c r="T133" i="1" s="1"/>
  <c r="L134" i="1"/>
  <c r="L135" i="1"/>
  <c r="T135" i="1" s="1"/>
  <c r="L136" i="1"/>
  <c r="T136" i="1" s="1"/>
  <c r="L137" i="1"/>
  <c r="T137" i="1" s="1"/>
  <c r="L138" i="1"/>
  <c r="T138" i="1" s="1"/>
  <c r="L139" i="1"/>
  <c r="T139" i="1" s="1"/>
  <c r="L140" i="1"/>
  <c r="L141" i="1"/>
  <c r="T141" i="1" s="1"/>
  <c r="L142" i="1"/>
  <c r="T142" i="1" s="1"/>
  <c r="L143" i="1"/>
  <c r="T143" i="1" s="1"/>
  <c r="L144" i="1"/>
  <c r="T144" i="1" s="1"/>
  <c r="L145" i="1"/>
  <c r="T145" i="1" s="1"/>
  <c r="L146" i="1"/>
  <c r="T146" i="1" s="1"/>
  <c r="L147" i="1"/>
  <c r="T147" i="1" s="1"/>
  <c r="L148" i="1"/>
  <c r="L149" i="1"/>
  <c r="T149" i="1" s="1"/>
  <c r="L150" i="1"/>
  <c r="T150" i="1" s="1"/>
  <c r="L151" i="1"/>
  <c r="T151" i="1" s="1"/>
  <c r="L152" i="1"/>
  <c r="L153" i="1"/>
  <c r="T153" i="1" s="1"/>
  <c r="L154" i="1"/>
  <c r="T154" i="1" s="1"/>
  <c r="L155" i="1"/>
  <c r="L156" i="1"/>
  <c r="L157" i="1"/>
  <c r="T157" i="1" s="1"/>
  <c r="L158" i="1"/>
  <c r="T158" i="1" s="1"/>
  <c r="L159" i="1"/>
  <c r="L160" i="1"/>
  <c r="L161" i="1"/>
  <c r="L162" i="1"/>
  <c r="T162" i="1" s="1"/>
  <c r="L163" i="1"/>
  <c r="T163" i="1" s="1"/>
  <c r="L164" i="1"/>
  <c r="T164" i="1" s="1"/>
  <c r="L165" i="1"/>
  <c r="T165" i="1" s="1"/>
  <c r="L166" i="1"/>
  <c r="L167" i="1"/>
  <c r="T167" i="1" s="1"/>
  <c r="L168" i="1"/>
  <c r="T168" i="1" s="1"/>
  <c r="L169" i="1"/>
  <c r="T169" i="1" s="1"/>
  <c r="L170" i="1"/>
  <c r="T170" i="1" s="1"/>
  <c r="L171" i="1"/>
  <c r="T171" i="1" s="1"/>
  <c r="L172" i="1"/>
  <c r="L173" i="1"/>
  <c r="L174" i="1"/>
  <c r="T174" i="1" s="1"/>
  <c r="L175" i="1"/>
  <c r="T175" i="1" s="1"/>
  <c r="L176" i="1"/>
  <c r="T176" i="1" s="1"/>
  <c r="L177" i="1"/>
  <c r="T177" i="1" s="1"/>
  <c r="L178" i="1"/>
  <c r="T178" i="1" s="1"/>
  <c r="L179" i="1"/>
  <c r="T179" i="1" s="1"/>
  <c r="L180" i="1"/>
  <c r="T180" i="1" s="1"/>
  <c r="L181" i="1"/>
  <c r="T181" i="1" s="1"/>
  <c r="L182" i="1"/>
  <c r="T182" i="1" s="1"/>
  <c r="L183" i="1"/>
  <c r="T183" i="1" s="1"/>
  <c r="L184" i="1"/>
  <c r="T184" i="1" s="1"/>
  <c r="L185" i="1"/>
  <c r="T185" i="1" s="1"/>
  <c r="L186" i="1"/>
  <c r="T186" i="1" s="1"/>
  <c r="L187" i="1"/>
  <c r="T187" i="1" s="1"/>
  <c r="L188" i="1"/>
  <c r="T188" i="1" s="1"/>
  <c r="L189" i="1"/>
  <c r="T189" i="1" s="1"/>
  <c r="L190" i="1"/>
  <c r="T190" i="1" s="1"/>
  <c r="L191" i="1"/>
  <c r="T191" i="1" s="1"/>
  <c r="L192" i="1"/>
  <c r="T192" i="1" s="1"/>
  <c r="L193" i="1"/>
  <c r="L194" i="1"/>
  <c r="L195" i="1"/>
  <c r="L196" i="1"/>
  <c r="T196" i="1" s="1"/>
  <c r="L197" i="1"/>
  <c r="T197" i="1" s="1"/>
  <c r="L198" i="1"/>
  <c r="T198" i="1" s="1"/>
  <c r="L199" i="1"/>
  <c r="T199" i="1" s="1"/>
  <c r="L200" i="1"/>
  <c r="T200" i="1" s="1"/>
  <c r="L201" i="1"/>
  <c r="T201" i="1" s="1"/>
  <c r="L202" i="1"/>
  <c r="T202" i="1" s="1"/>
  <c r="L203" i="1"/>
  <c r="T203" i="1" s="1"/>
  <c r="L204" i="1"/>
  <c r="L205" i="1"/>
  <c r="T205" i="1" s="1"/>
  <c r="L206" i="1"/>
  <c r="L207" i="1"/>
  <c r="L208" i="1"/>
  <c r="T208" i="1" s="1"/>
  <c r="L209" i="1"/>
  <c r="T209" i="1" s="1"/>
  <c r="L210" i="1"/>
  <c r="T210" i="1" s="1"/>
  <c r="L211" i="1"/>
  <c r="L212" i="1"/>
  <c r="T212" i="1" s="1"/>
  <c r="L213" i="1"/>
  <c r="T213" i="1" s="1"/>
  <c r="L214" i="1"/>
  <c r="T214" i="1" s="1"/>
  <c r="L215" i="1"/>
  <c r="T215" i="1" s="1"/>
  <c r="L216" i="1"/>
  <c r="T216" i="1" s="1"/>
  <c r="L217" i="1"/>
  <c r="T217" i="1" s="1"/>
  <c r="L218" i="1"/>
  <c r="T218" i="1" s="1"/>
  <c r="L219" i="1"/>
  <c r="T219" i="1" s="1"/>
  <c r="L220" i="1"/>
  <c r="L221" i="1"/>
  <c r="T221" i="1" s="1"/>
  <c r="L222" i="1"/>
  <c r="T222" i="1" s="1"/>
  <c r="L223" i="1"/>
  <c r="T223" i="1" s="1"/>
  <c r="L224" i="1"/>
  <c r="L225" i="1"/>
  <c r="T225" i="1" s="1"/>
  <c r="L226" i="1"/>
  <c r="T226" i="1" s="1"/>
  <c r="L227" i="1"/>
  <c r="T227" i="1" s="1"/>
  <c r="L228" i="1"/>
  <c r="T228" i="1" s="1"/>
  <c r="L229" i="1"/>
  <c r="T229" i="1" s="1"/>
  <c r="L230" i="1"/>
  <c r="T230" i="1" s="1"/>
  <c r="L231" i="1"/>
  <c r="T231" i="1" s="1"/>
  <c r="L232" i="1"/>
  <c r="T232" i="1" s="1"/>
  <c r="L233" i="1"/>
  <c r="T233" i="1" s="1"/>
  <c r="L234" i="1"/>
  <c r="T234" i="1" s="1"/>
  <c r="L235" i="1"/>
  <c r="T235" i="1" s="1"/>
  <c r="L236" i="1"/>
  <c r="T236" i="1" s="1"/>
  <c r="L237" i="1"/>
  <c r="T237" i="1" s="1"/>
  <c r="L238" i="1"/>
  <c r="T238" i="1" s="1"/>
  <c r="L239" i="1"/>
  <c r="T239" i="1" s="1"/>
  <c r="L240" i="1"/>
  <c r="L241" i="1"/>
  <c r="T241" i="1" s="1"/>
  <c r="L242" i="1"/>
  <c r="T242" i="1" s="1"/>
  <c r="L243" i="1"/>
  <c r="T243" i="1" s="1"/>
  <c r="L244" i="1"/>
  <c r="T244" i="1" s="1"/>
  <c r="L245" i="1"/>
  <c r="T245" i="1" s="1"/>
  <c r="L246" i="1"/>
  <c r="T246" i="1" s="1"/>
  <c r="L247" i="1"/>
  <c r="T247" i="1" s="1"/>
  <c r="L248" i="1"/>
  <c r="T248" i="1" s="1"/>
  <c r="L249" i="1"/>
  <c r="L250" i="1"/>
  <c r="L251" i="1"/>
  <c r="L252" i="1"/>
  <c r="T252" i="1" s="1"/>
  <c r="L253" i="1"/>
  <c r="T253" i="1" s="1"/>
  <c r="L254" i="1"/>
  <c r="T254" i="1" s="1"/>
  <c r="L255" i="1"/>
  <c r="T255" i="1" s="1"/>
  <c r="L256" i="1"/>
  <c r="L257" i="1"/>
  <c r="T257" i="1" s="1"/>
  <c r="L258" i="1"/>
  <c r="T258" i="1" s="1"/>
  <c r="L259" i="1"/>
  <c r="T259" i="1" s="1"/>
  <c r="L260" i="1"/>
  <c r="T260" i="1" s="1"/>
  <c r="L261" i="1"/>
  <c r="T261" i="1" s="1"/>
  <c r="L262" i="1"/>
  <c r="T262" i="1" s="1"/>
  <c r="L263" i="1"/>
  <c r="T263" i="1" s="1"/>
  <c r="L264" i="1"/>
  <c r="T264" i="1" s="1"/>
  <c r="L265" i="1"/>
  <c r="L266" i="1"/>
  <c r="L267" i="1"/>
  <c r="L268" i="1"/>
  <c r="L269" i="1"/>
  <c r="T269" i="1" s="1"/>
  <c r="L270" i="1"/>
  <c r="T270" i="1" s="1"/>
  <c r="L271" i="1"/>
  <c r="T271" i="1" s="1"/>
  <c r="L272" i="1"/>
  <c r="T272" i="1" s="1"/>
  <c r="L273" i="1"/>
  <c r="T273" i="1" s="1"/>
  <c r="L274" i="1"/>
  <c r="T274" i="1" s="1"/>
  <c r="L275" i="1"/>
  <c r="T275" i="1" s="1"/>
  <c r="L276" i="1"/>
  <c r="L277" i="1"/>
  <c r="T277" i="1" s="1"/>
  <c r="L278" i="1"/>
  <c r="L279" i="1"/>
  <c r="L280" i="1"/>
  <c r="L281" i="1"/>
  <c r="T281" i="1" s="1"/>
  <c r="L282" i="1"/>
  <c r="T282" i="1" s="1"/>
  <c r="L283" i="1"/>
  <c r="T283" i="1" s="1"/>
  <c r="L284" i="1"/>
  <c r="L285" i="1"/>
  <c r="L286" i="1"/>
  <c r="T286" i="1" s="1"/>
  <c r="L287" i="1"/>
  <c r="L288" i="1"/>
  <c r="T288" i="1" s="1"/>
  <c r="L289" i="1"/>
  <c r="T289" i="1" s="1"/>
  <c r="L290" i="1"/>
  <c r="T290" i="1" s="1"/>
  <c r="L291" i="1"/>
  <c r="T291" i="1" s="1"/>
  <c r="L292" i="1"/>
  <c r="T292" i="1" s="1"/>
  <c r="L293" i="1"/>
  <c r="T293" i="1" s="1"/>
  <c r="L294" i="1"/>
  <c r="L295" i="1"/>
  <c r="T295" i="1" s="1"/>
  <c r="L296" i="1"/>
  <c r="L297" i="1"/>
  <c r="T297" i="1" s="1"/>
  <c r="L298" i="1"/>
  <c r="T298" i="1" s="1"/>
  <c r="L299" i="1"/>
  <c r="T299" i="1" s="1"/>
  <c r="L300" i="1"/>
  <c r="T300" i="1" s="1"/>
  <c r="L301" i="1"/>
  <c r="T301" i="1" s="1"/>
  <c r="L302" i="1"/>
  <c r="T302" i="1" s="1"/>
  <c r="L303" i="1"/>
  <c r="T303" i="1" s="1"/>
  <c r="L304" i="1"/>
  <c r="T304" i="1" s="1"/>
  <c r="L305" i="1"/>
  <c r="L306" i="1"/>
  <c r="T306" i="1" s="1"/>
  <c r="L307" i="1"/>
  <c r="T307" i="1" s="1"/>
  <c r="L308" i="1"/>
  <c r="T308" i="1" s="1"/>
  <c r="L309" i="1"/>
  <c r="T309" i="1" s="1"/>
  <c r="L310" i="1"/>
  <c r="T310" i="1" s="1"/>
  <c r="L311" i="1"/>
  <c r="T311" i="1" s="1"/>
  <c r="L312" i="1"/>
  <c r="T312" i="1" s="1"/>
  <c r="L313" i="1"/>
  <c r="T313" i="1" s="1"/>
  <c r="L314" i="1"/>
  <c r="T314" i="1" s="1"/>
  <c r="L315" i="1"/>
  <c r="T315" i="1" s="1"/>
  <c r="L316" i="1"/>
  <c r="T316" i="1" s="1"/>
  <c r="L317" i="1"/>
  <c r="T317" i="1" s="1"/>
  <c r="L318" i="1"/>
  <c r="T318" i="1" s="1"/>
  <c r="L319" i="1"/>
  <c r="T319" i="1" s="1"/>
  <c r="L320" i="1"/>
  <c r="L321" i="1"/>
  <c r="T321" i="1" s="1"/>
  <c r="L322" i="1"/>
  <c r="T322" i="1" s="1"/>
  <c r="L323" i="1"/>
  <c r="T323" i="1" s="1"/>
  <c r="L324" i="1"/>
  <c r="L325" i="1"/>
  <c r="T325" i="1" s="1"/>
  <c r="L326" i="1"/>
  <c r="L327" i="1"/>
  <c r="T327" i="1" s="1"/>
  <c r="L328" i="1"/>
  <c r="T328" i="1" s="1"/>
  <c r="L329" i="1"/>
  <c r="T329" i="1" s="1"/>
  <c r="L330" i="1"/>
  <c r="T330" i="1" s="1"/>
  <c r="L331" i="1"/>
  <c r="T331" i="1" s="1"/>
  <c r="L332" i="1"/>
  <c r="L333" i="1"/>
  <c r="T333" i="1" s="1"/>
  <c r="L334" i="1"/>
  <c r="T334" i="1" s="1"/>
  <c r="L335" i="1"/>
  <c r="T335" i="1" s="1"/>
  <c r="L336" i="1"/>
  <c r="T336" i="1" s="1"/>
  <c r="L337" i="1"/>
  <c r="T337" i="1" s="1"/>
  <c r="L338" i="1"/>
  <c r="T338" i="1" s="1"/>
  <c r="L339" i="1"/>
  <c r="T339" i="1" s="1"/>
  <c r="L340" i="1"/>
  <c r="T340" i="1" s="1"/>
  <c r="L341" i="1"/>
  <c r="T341" i="1" s="1"/>
  <c r="L342" i="1"/>
  <c r="T342" i="1" s="1"/>
  <c r="L343" i="1"/>
  <c r="T343" i="1" s="1"/>
  <c r="L344" i="1"/>
  <c r="L345" i="1"/>
  <c r="T345" i="1" s="1"/>
  <c r="L346" i="1"/>
  <c r="T346" i="1" s="1"/>
  <c r="L347" i="1"/>
  <c r="T347" i="1" s="1"/>
  <c r="L348" i="1"/>
  <c r="L349" i="1"/>
  <c r="T349" i="1" s="1"/>
  <c r="L350" i="1"/>
  <c r="T350" i="1" s="1"/>
  <c r="L351" i="1"/>
  <c r="T351" i="1" s="1"/>
  <c r="L352" i="1"/>
  <c r="T352" i="1" s="1"/>
  <c r="L353" i="1"/>
  <c r="L354" i="1"/>
  <c r="L355" i="1"/>
  <c r="T355" i="1" s="1"/>
  <c r="L356" i="1"/>
  <c r="L357" i="1"/>
  <c r="T357" i="1" s="1"/>
  <c r="L358" i="1"/>
  <c r="T358" i="1" s="1"/>
  <c r="L359" i="1"/>
  <c r="T359" i="1" s="1"/>
  <c r="L360" i="1"/>
  <c r="T360" i="1" s="1"/>
  <c r="L361" i="1"/>
  <c r="T361" i="1" s="1"/>
  <c r="L362" i="1"/>
  <c r="T362" i="1" s="1"/>
  <c r="L363" i="1"/>
  <c r="T363" i="1" s="1"/>
  <c r="L364" i="1"/>
  <c r="T364" i="1" s="1"/>
  <c r="L365" i="1"/>
  <c r="T365" i="1" s="1"/>
  <c r="L366" i="1"/>
  <c r="L367" i="1"/>
  <c r="T367" i="1" s="1"/>
  <c r="L368" i="1"/>
  <c r="T368" i="1" s="1"/>
  <c r="L369" i="1"/>
  <c r="T369" i="1" s="1"/>
  <c r="L370" i="1"/>
  <c r="T370" i="1" s="1"/>
  <c r="L371" i="1"/>
  <c r="T371" i="1" s="1"/>
  <c r="L372" i="1"/>
  <c r="L373" i="1"/>
  <c r="T373" i="1" s="1"/>
  <c r="L374" i="1"/>
  <c r="T374" i="1" s="1"/>
  <c r="L375" i="1"/>
  <c r="T375" i="1" s="1"/>
  <c r="L376" i="1"/>
  <c r="T376" i="1" s="1"/>
  <c r="L377" i="1"/>
  <c r="T377" i="1" s="1"/>
  <c r="L378" i="1"/>
  <c r="T378" i="1" s="1"/>
  <c r="L379" i="1"/>
  <c r="T379" i="1" s="1"/>
  <c r="L380" i="1"/>
  <c r="L381" i="1"/>
  <c r="T381" i="1" s="1"/>
  <c r="L382" i="1"/>
  <c r="T382" i="1" s="1"/>
  <c r="L383" i="1"/>
  <c r="T383" i="1" s="1"/>
  <c r="L384" i="1"/>
  <c r="L385" i="1"/>
  <c r="T385" i="1" s="1"/>
  <c r="L386" i="1"/>
  <c r="T386" i="1" s="1"/>
  <c r="L387" i="1"/>
  <c r="T387" i="1" s="1"/>
  <c r="L388" i="1"/>
  <c r="L389" i="1"/>
  <c r="T389" i="1" s="1"/>
  <c r="L390" i="1"/>
  <c r="L391" i="1"/>
  <c r="L392" i="1"/>
  <c r="L393" i="1"/>
  <c r="L394" i="1"/>
  <c r="T394" i="1" s="1"/>
  <c r="L395" i="1"/>
  <c r="T395" i="1" s="1"/>
  <c r="L396" i="1"/>
  <c r="T396" i="1" s="1"/>
  <c r="L397" i="1"/>
  <c r="T397" i="1" s="1"/>
  <c r="L398" i="1"/>
  <c r="L399" i="1"/>
  <c r="T399" i="1" s="1"/>
  <c r="L400" i="1"/>
  <c r="T400" i="1" s="1"/>
  <c r="L401" i="1"/>
  <c r="L402" i="1"/>
  <c r="L403" i="1"/>
  <c r="T403" i="1" s="1"/>
  <c r="L404" i="1"/>
  <c r="L405" i="1"/>
  <c r="L406" i="1"/>
  <c r="L407" i="1"/>
  <c r="T407" i="1" s="1"/>
  <c r="L408" i="1"/>
  <c r="L409" i="1"/>
  <c r="L410" i="1"/>
  <c r="T410" i="1" s="1"/>
  <c r="L411" i="1"/>
  <c r="T411" i="1" s="1"/>
  <c r="L412" i="1"/>
  <c r="T412" i="1" s="1"/>
  <c r="L413" i="1"/>
  <c r="T413" i="1" s="1"/>
  <c r="L414" i="1"/>
  <c r="L415" i="1"/>
  <c r="T415" i="1" s="1"/>
  <c r="L416" i="1"/>
  <c r="T416" i="1" s="1"/>
  <c r="L417" i="1"/>
  <c r="L418" i="1"/>
  <c r="T418" i="1" s="1"/>
  <c r="L419" i="1"/>
  <c r="T419" i="1" s="1"/>
  <c r="L420" i="1"/>
  <c r="T420" i="1" s="1"/>
  <c r="L421" i="1"/>
  <c r="T421" i="1" s="1"/>
  <c r="L422" i="1"/>
  <c r="T422" i="1" s="1"/>
  <c r="L423" i="1"/>
  <c r="L424" i="1"/>
  <c r="T424" i="1" s="1"/>
  <c r="L425" i="1"/>
  <c r="T425" i="1" s="1"/>
  <c r="L426" i="1"/>
  <c r="L427" i="1"/>
  <c r="T427" i="1" s="1"/>
  <c r="L428" i="1"/>
  <c r="L429" i="1"/>
  <c r="T429" i="1" s="1"/>
  <c r="L430" i="1"/>
  <c r="T430" i="1" s="1"/>
  <c r="L431" i="1"/>
  <c r="L432" i="1"/>
  <c r="T432" i="1" s="1"/>
  <c r="L433" i="1"/>
  <c r="T433" i="1" s="1"/>
  <c r="L434" i="1"/>
  <c r="T434" i="1" s="1"/>
  <c r="L435" i="1"/>
  <c r="L436" i="1"/>
  <c r="L437" i="1"/>
  <c r="T437" i="1" s="1"/>
  <c r="L438" i="1"/>
  <c r="T438" i="1" s="1"/>
  <c r="L439" i="1"/>
  <c r="L440" i="1"/>
  <c r="T440" i="1" s="1"/>
  <c r="L441" i="1"/>
  <c r="T441" i="1" s="1"/>
  <c r="L442" i="1"/>
  <c r="T442" i="1" s="1"/>
  <c r="L443" i="1"/>
  <c r="T443" i="1" s="1"/>
  <c r="L444" i="1"/>
  <c r="L445" i="1"/>
  <c r="T445" i="1" s="1"/>
  <c r="L446" i="1"/>
  <c r="T446" i="1" s="1"/>
  <c r="L447" i="1"/>
  <c r="T447" i="1" s="1"/>
  <c r="L448" i="1"/>
  <c r="T448" i="1" s="1"/>
  <c r="L449" i="1"/>
  <c r="T449" i="1" s="1"/>
  <c r="L450" i="1"/>
  <c r="T450" i="1" s="1"/>
  <c r="L451" i="1"/>
  <c r="T451" i="1" s="1"/>
  <c r="L452" i="1"/>
  <c r="T452" i="1" s="1"/>
  <c r="L453" i="1"/>
  <c r="T453" i="1" s="1"/>
  <c r="L454" i="1"/>
  <c r="L455" i="1"/>
  <c r="T455" i="1" s="1"/>
  <c r="L456" i="1"/>
  <c r="T456" i="1" s="1"/>
  <c r="L457" i="1"/>
  <c r="T457" i="1" s="1"/>
  <c r="L458" i="1"/>
  <c r="T458" i="1" s="1"/>
  <c r="L459" i="1"/>
  <c r="T459" i="1" s="1"/>
  <c r="L460" i="1"/>
  <c r="T460" i="1" s="1"/>
  <c r="L461" i="1"/>
  <c r="T461" i="1" s="1"/>
  <c r="L462" i="1"/>
  <c r="T462" i="1" s="1"/>
  <c r="L463" i="1"/>
  <c r="L464" i="1"/>
  <c r="L465" i="1"/>
  <c r="T465" i="1" s="1"/>
  <c r="L466" i="1"/>
  <c r="T466" i="1" s="1"/>
  <c r="L467" i="1"/>
  <c r="T467" i="1" s="1"/>
  <c r="L468" i="1"/>
  <c r="T468" i="1" s="1"/>
  <c r="L469" i="1"/>
  <c r="T469" i="1" s="1"/>
  <c r="L470" i="1"/>
  <c r="T470" i="1" s="1"/>
  <c r="L471" i="1"/>
  <c r="L472" i="1"/>
  <c r="T472" i="1" s="1"/>
  <c r="L473" i="1"/>
  <c r="T473" i="1" s="1"/>
  <c r="L474" i="1"/>
  <c r="T474" i="1" s="1"/>
  <c r="L475" i="1"/>
  <c r="T475" i="1" s="1"/>
  <c r="L476" i="1"/>
  <c r="T476" i="1" s="1"/>
  <c r="L477" i="1"/>
  <c r="T477" i="1" s="1"/>
  <c r="L478" i="1"/>
  <c r="T478" i="1" s="1"/>
  <c r="L479" i="1"/>
  <c r="T479" i="1" s="1"/>
  <c r="L480" i="1"/>
  <c r="T480" i="1" s="1"/>
  <c r="L481" i="1"/>
  <c r="L482" i="1"/>
  <c r="L483" i="1"/>
  <c r="T483" i="1" s="1"/>
  <c r="L484" i="1"/>
  <c r="T484" i="1" s="1"/>
  <c r="L485" i="1"/>
  <c r="T485" i="1" s="1"/>
  <c r="L486" i="1"/>
  <c r="T486" i="1" s="1"/>
  <c r="L487" i="1"/>
  <c r="L488" i="1"/>
  <c r="T488" i="1" s="1"/>
  <c r="L489" i="1"/>
  <c r="T489" i="1" s="1"/>
  <c r="L490" i="1"/>
  <c r="L491" i="1"/>
  <c r="L492" i="1"/>
  <c r="T492" i="1" s="1"/>
  <c r="L493" i="1"/>
  <c r="T493" i="1" s="1"/>
  <c r="L494" i="1"/>
  <c r="T494" i="1" s="1"/>
  <c r="L495" i="1"/>
  <c r="T495" i="1" s="1"/>
  <c r="L496" i="1"/>
  <c r="T496" i="1" s="1"/>
  <c r="L497" i="1"/>
  <c r="T497" i="1" s="1"/>
  <c r="L498" i="1"/>
  <c r="T498" i="1" s="1"/>
  <c r="L499" i="1"/>
  <c r="L500" i="1"/>
  <c r="L501" i="1"/>
  <c r="T501" i="1" s="1"/>
  <c r="L502" i="1"/>
  <c r="L503" i="1"/>
  <c r="T503" i="1" s="1"/>
  <c r="L504" i="1"/>
  <c r="T504" i="1" s="1"/>
  <c r="L505" i="1"/>
  <c r="T505" i="1" s="1"/>
  <c r="L506" i="1"/>
  <c r="T506" i="1" s="1"/>
  <c r="L507"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8" i="1"/>
  <c r="M464" i="1" l="1"/>
  <c r="T464" i="1"/>
  <c r="M408" i="1"/>
  <c r="T408" i="1"/>
  <c r="M280" i="1"/>
  <c r="T280" i="1"/>
  <c r="M29" i="1"/>
  <c r="T29" i="1"/>
  <c r="M500" i="1"/>
  <c r="T500" i="1"/>
  <c r="M444" i="1"/>
  <c r="T444" i="1"/>
  <c r="M436" i="1"/>
  <c r="T436" i="1"/>
  <c r="M428" i="1"/>
  <c r="T428" i="1"/>
  <c r="M348" i="1"/>
  <c r="T348" i="1"/>
  <c r="M332" i="1"/>
  <c r="T332" i="1"/>
  <c r="M276" i="1"/>
  <c r="T276" i="1"/>
  <c r="M204" i="1"/>
  <c r="T204" i="1"/>
  <c r="M172" i="1"/>
  <c r="T172" i="1"/>
  <c r="M156" i="1"/>
  <c r="T156" i="1"/>
  <c r="M76" i="1"/>
  <c r="T76" i="1"/>
  <c r="M52" i="1"/>
  <c r="T52" i="1"/>
  <c r="M507" i="1"/>
  <c r="T507" i="1"/>
  <c r="M499" i="1"/>
  <c r="T499" i="1"/>
  <c r="M491" i="1"/>
  <c r="T491" i="1"/>
  <c r="M435" i="1"/>
  <c r="T435" i="1"/>
  <c r="M267" i="1"/>
  <c r="T267" i="1"/>
  <c r="M251" i="1"/>
  <c r="T251" i="1"/>
  <c r="M211" i="1"/>
  <c r="T211" i="1"/>
  <c r="M195" i="1"/>
  <c r="T195" i="1"/>
  <c r="M155" i="1"/>
  <c r="T155" i="1"/>
  <c r="M123" i="1"/>
  <c r="T123" i="1"/>
  <c r="M19" i="1"/>
  <c r="T19" i="1"/>
  <c r="M344" i="1"/>
  <c r="T344" i="1"/>
  <c r="M256" i="1"/>
  <c r="T256" i="1"/>
  <c r="M173" i="1"/>
  <c r="T173" i="1"/>
  <c r="M380" i="1"/>
  <c r="T380" i="1"/>
  <c r="M356" i="1"/>
  <c r="T356" i="1"/>
  <c r="M220" i="1"/>
  <c r="T220" i="1"/>
  <c r="M490" i="1"/>
  <c r="T490" i="1"/>
  <c r="M482" i="1"/>
  <c r="T482" i="1"/>
  <c r="M426" i="1"/>
  <c r="T426" i="1"/>
  <c r="M402" i="1"/>
  <c r="T402" i="1"/>
  <c r="M354" i="1"/>
  <c r="T354" i="1"/>
  <c r="M266" i="1"/>
  <c r="T266" i="1"/>
  <c r="M250" i="1"/>
  <c r="T250" i="1"/>
  <c r="M194" i="1"/>
  <c r="T194" i="1"/>
  <c r="M122" i="1"/>
  <c r="T122" i="1"/>
  <c r="M114" i="1"/>
  <c r="T114" i="1"/>
  <c r="M392" i="1"/>
  <c r="T392" i="1"/>
  <c r="M384" i="1"/>
  <c r="T384" i="1"/>
  <c r="M56" i="1"/>
  <c r="T56" i="1"/>
  <c r="M405" i="1"/>
  <c r="T405" i="1"/>
  <c r="M285" i="1"/>
  <c r="T285" i="1"/>
  <c r="M404" i="1"/>
  <c r="T404" i="1"/>
  <c r="M388" i="1"/>
  <c r="T388" i="1"/>
  <c r="M372" i="1"/>
  <c r="T372" i="1"/>
  <c r="M324" i="1"/>
  <c r="T324" i="1"/>
  <c r="M284" i="1"/>
  <c r="T284" i="1"/>
  <c r="M268" i="1"/>
  <c r="T268" i="1"/>
  <c r="M148" i="1"/>
  <c r="T148" i="1"/>
  <c r="M140" i="1"/>
  <c r="T140" i="1"/>
  <c r="M28" i="1"/>
  <c r="T28" i="1"/>
  <c r="M481" i="1"/>
  <c r="T481" i="1"/>
  <c r="M417" i="1"/>
  <c r="T417" i="1"/>
  <c r="M409" i="1"/>
  <c r="T409" i="1"/>
  <c r="M401" i="1"/>
  <c r="T401" i="1"/>
  <c r="M393" i="1"/>
  <c r="T393" i="1"/>
  <c r="M353" i="1"/>
  <c r="T353" i="1"/>
  <c r="M305" i="1"/>
  <c r="T305" i="1"/>
  <c r="M265" i="1"/>
  <c r="T265" i="1"/>
  <c r="M249" i="1"/>
  <c r="T249" i="1"/>
  <c r="M193" i="1"/>
  <c r="T193" i="1"/>
  <c r="M161" i="1"/>
  <c r="T161" i="1"/>
  <c r="M97" i="1"/>
  <c r="T97" i="1"/>
  <c r="M320" i="1"/>
  <c r="T320" i="1"/>
  <c r="M296" i="1"/>
  <c r="T296" i="1"/>
  <c r="M240" i="1"/>
  <c r="T240" i="1"/>
  <c r="M224" i="1"/>
  <c r="T224" i="1"/>
  <c r="M160" i="1"/>
  <c r="T160" i="1"/>
  <c r="M152" i="1"/>
  <c r="T152" i="1"/>
  <c r="M24" i="1"/>
  <c r="T24" i="1"/>
  <c r="M487" i="1"/>
  <c r="T487" i="1"/>
  <c r="M471" i="1"/>
  <c r="T471" i="1"/>
  <c r="M463" i="1"/>
  <c r="T463" i="1"/>
  <c r="M439" i="1"/>
  <c r="T439" i="1"/>
  <c r="M431" i="1"/>
  <c r="T431" i="1"/>
  <c r="M423" i="1"/>
  <c r="T423" i="1"/>
  <c r="M391" i="1"/>
  <c r="T391" i="1"/>
  <c r="M287" i="1"/>
  <c r="T287" i="1"/>
  <c r="M279" i="1"/>
  <c r="T279" i="1"/>
  <c r="M207" i="1"/>
  <c r="T207" i="1"/>
  <c r="M159" i="1"/>
  <c r="T159" i="1"/>
  <c r="M79" i="1"/>
  <c r="T79" i="1"/>
  <c r="M47" i="1"/>
  <c r="T47" i="1"/>
  <c r="M39" i="1"/>
  <c r="T39" i="1"/>
  <c r="M31" i="1"/>
  <c r="T31" i="1"/>
  <c r="M502" i="1"/>
  <c r="T502" i="1"/>
  <c r="M454" i="1"/>
  <c r="T454" i="1"/>
  <c r="M414" i="1"/>
  <c r="T414" i="1"/>
  <c r="M406" i="1"/>
  <c r="T406" i="1"/>
  <c r="M398" i="1"/>
  <c r="T398" i="1"/>
  <c r="M390" i="1"/>
  <c r="T390" i="1"/>
  <c r="M366" i="1"/>
  <c r="T366" i="1"/>
  <c r="M326" i="1"/>
  <c r="T326" i="1"/>
  <c r="M294" i="1"/>
  <c r="T294" i="1"/>
  <c r="M278" i="1"/>
  <c r="T278" i="1"/>
  <c r="M206" i="1"/>
  <c r="T206" i="1"/>
  <c r="M166" i="1"/>
  <c r="T166" i="1"/>
  <c r="M134" i="1"/>
  <c r="T134" i="1"/>
  <c r="M126" i="1"/>
  <c r="T126" i="1"/>
  <c r="M86" i="1"/>
  <c r="T86" i="1"/>
  <c r="M38" i="1"/>
  <c r="T38" i="1"/>
  <c r="N478" i="1"/>
  <c r="M478" i="1"/>
  <c r="N446" i="1"/>
  <c r="M446" i="1"/>
  <c r="N430" i="1"/>
  <c r="M430" i="1"/>
  <c r="N358" i="1"/>
  <c r="M358" i="1"/>
  <c r="N350" i="1"/>
  <c r="M350" i="1"/>
  <c r="N342" i="1"/>
  <c r="M342" i="1"/>
  <c r="N334" i="1"/>
  <c r="M334" i="1"/>
  <c r="N318" i="1"/>
  <c r="M318" i="1"/>
  <c r="N310" i="1"/>
  <c r="M310" i="1"/>
  <c r="N286" i="1"/>
  <c r="M286" i="1"/>
  <c r="N230" i="1"/>
  <c r="M230" i="1"/>
  <c r="N14" i="1"/>
  <c r="M14" i="1"/>
  <c r="N485" i="1"/>
  <c r="M485" i="1"/>
  <c r="N453" i="1"/>
  <c r="M453" i="1"/>
  <c r="N429" i="1"/>
  <c r="M429" i="1"/>
  <c r="N397" i="1"/>
  <c r="M397" i="1"/>
  <c r="N333" i="1"/>
  <c r="M333" i="1"/>
  <c r="N253" i="1"/>
  <c r="M253" i="1"/>
  <c r="N37" i="1"/>
  <c r="M37" i="1"/>
  <c r="N484" i="1"/>
  <c r="M484" i="1"/>
  <c r="N460" i="1"/>
  <c r="M460" i="1"/>
  <c r="N412" i="1"/>
  <c r="M412" i="1"/>
  <c r="N364" i="1"/>
  <c r="M364" i="1"/>
  <c r="N340" i="1"/>
  <c r="M340" i="1"/>
  <c r="N292" i="1"/>
  <c r="M292" i="1"/>
  <c r="N180" i="1"/>
  <c r="M180" i="1"/>
  <c r="N44" i="1"/>
  <c r="M44" i="1"/>
  <c r="N483" i="1"/>
  <c r="M483" i="1"/>
  <c r="N475" i="1"/>
  <c r="M475" i="1"/>
  <c r="N467" i="1"/>
  <c r="M467" i="1"/>
  <c r="N459" i="1"/>
  <c r="M459" i="1"/>
  <c r="N451" i="1"/>
  <c r="M451" i="1"/>
  <c r="N443" i="1"/>
  <c r="M443" i="1"/>
  <c r="N427" i="1"/>
  <c r="M427" i="1"/>
  <c r="N419" i="1"/>
  <c r="M419" i="1"/>
  <c r="N411" i="1"/>
  <c r="M411" i="1"/>
  <c r="N403" i="1"/>
  <c r="M403" i="1"/>
  <c r="N395" i="1"/>
  <c r="M395" i="1"/>
  <c r="N387" i="1"/>
  <c r="M387" i="1"/>
  <c r="N379" i="1"/>
  <c r="M379" i="1"/>
  <c r="N371" i="1"/>
  <c r="M371" i="1"/>
  <c r="N363" i="1"/>
  <c r="M363" i="1"/>
  <c r="N355" i="1"/>
  <c r="M355" i="1"/>
  <c r="N347" i="1"/>
  <c r="M347" i="1"/>
  <c r="N339" i="1"/>
  <c r="M339" i="1"/>
  <c r="N331" i="1"/>
  <c r="M331" i="1"/>
  <c r="N323" i="1"/>
  <c r="M323" i="1"/>
  <c r="N315" i="1"/>
  <c r="M315" i="1"/>
  <c r="N307" i="1"/>
  <c r="M307" i="1"/>
  <c r="N299" i="1"/>
  <c r="M299" i="1"/>
  <c r="N291" i="1"/>
  <c r="M291" i="1"/>
  <c r="N283" i="1"/>
  <c r="M283" i="1"/>
  <c r="N275" i="1"/>
  <c r="M275" i="1"/>
  <c r="N259" i="1"/>
  <c r="M259" i="1"/>
  <c r="N243" i="1"/>
  <c r="M243" i="1"/>
  <c r="N235" i="1"/>
  <c r="M235" i="1"/>
  <c r="N227" i="1"/>
  <c r="M227" i="1"/>
  <c r="N219" i="1"/>
  <c r="M219" i="1"/>
  <c r="N203" i="1"/>
  <c r="M203" i="1"/>
  <c r="N187" i="1"/>
  <c r="M187" i="1"/>
  <c r="N179" i="1"/>
  <c r="M179" i="1"/>
  <c r="N171" i="1"/>
  <c r="M171" i="1"/>
  <c r="N163" i="1"/>
  <c r="M163" i="1"/>
  <c r="N147" i="1"/>
  <c r="M147" i="1"/>
  <c r="N139" i="1"/>
  <c r="M139" i="1"/>
  <c r="N131" i="1"/>
  <c r="M131" i="1"/>
  <c r="N115" i="1"/>
  <c r="M115" i="1"/>
  <c r="N107" i="1"/>
  <c r="M107" i="1"/>
  <c r="N99" i="1"/>
  <c r="M99" i="1"/>
  <c r="N91" i="1"/>
  <c r="M91" i="1"/>
  <c r="N83" i="1"/>
  <c r="M83" i="1"/>
  <c r="N75" i="1"/>
  <c r="M75" i="1"/>
  <c r="N67" i="1"/>
  <c r="M67" i="1"/>
  <c r="N59" i="1"/>
  <c r="M59" i="1"/>
  <c r="N51" i="1"/>
  <c r="M51" i="1"/>
  <c r="N43" i="1"/>
  <c r="M43" i="1"/>
  <c r="N35" i="1"/>
  <c r="M35" i="1"/>
  <c r="N27" i="1"/>
  <c r="M27" i="1"/>
  <c r="N11" i="1"/>
  <c r="M11" i="1"/>
  <c r="N486" i="1"/>
  <c r="M486" i="1"/>
  <c r="N462" i="1"/>
  <c r="M462" i="1"/>
  <c r="N438" i="1"/>
  <c r="M438" i="1"/>
  <c r="N374" i="1"/>
  <c r="M374" i="1"/>
  <c r="N262" i="1"/>
  <c r="M262" i="1"/>
  <c r="N246" i="1"/>
  <c r="M246" i="1"/>
  <c r="N222" i="1"/>
  <c r="M222" i="1"/>
  <c r="N158" i="1"/>
  <c r="M158" i="1"/>
  <c r="N142" i="1"/>
  <c r="M142" i="1"/>
  <c r="N118" i="1"/>
  <c r="M118" i="1"/>
  <c r="N110" i="1"/>
  <c r="M110" i="1"/>
  <c r="N102" i="1"/>
  <c r="M102" i="1"/>
  <c r="N94" i="1"/>
  <c r="M94" i="1"/>
  <c r="N477" i="1"/>
  <c r="M477" i="1"/>
  <c r="N389" i="1"/>
  <c r="M389" i="1"/>
  <c r="N381" i="1"/>
  <c r="M381" i="1"/>
  <c r="N373" i="1"/>
  <c r="M373" i="1"/>
  <c r="N357" i="1"/>
  <c r="M357" i="1"/>
  <c r="N341" i="1"/>
  <c r="M341" i="1"/>
  <c r="N325" i="1"/>
  <c r="M325" i="1"/>
  <c r="N317" i="1"/>
  <c r="M317" i="1"/>
  <c r="N309" i="1"/>
  <c r="M309" i="1"/>
  <c r="N301" i="1"/>
  <c r="M301" i="1"/>
  <c r="N293" i="1"/>
  <c r="M293" i="1"/>
  <c r="N269" i="1"/>
  <c r="M269" i="1"/>
  <c r="N237" i="1"/>
  <c r="M237" i="1"/>
  <c r="N229" i="1"/>
  <c r="M229" i="1"/>
  <c r="N213" i="1"/>
  <c r="M213" i="1"/>
  <c r="N197" i="1"/>
  <c r="M197" i="1"/>
  <c r="N189" i="1"/>
  <c r="M189" i="1"/>
  <c r="N181" i="1"/>
  <c r="M181" i="1"/>
  <c r="N165" i="1"/>
  <c r="M165" i="1"/>
  <c r="N149" i="1"/>
  <c r="M149" i="1"/>
  <c r="N133" i="1"/>
  <c r="M133" i="1"/>
  <c r="N117" i="1"/>
  <c r="M117" i="1"/>
  <c r="N101" i="1"/>
  <c r="M101" i="1"/>
  <c r="N85" i="1"/>
  <c r="M85" i="1"/>
  <c r="N77" i="1"/>
  <c r="M77" i="1"/>
  <c r="N61" i="1"/>
  <c r="M61" i="1"/>
  <c r="N53" i="1"/>
  <c r="M53" i="1"/>
  <c r="N13" i="1"/>
  <c r="M13" i="1"/>
  <c r="N260" i="1"/>
  <c r="M260" i="1"/>
  <c r="N228" i="1"/>
  <c r="M228" i="1"/>
  <c r="N212" i="1"/>
  <c r="M212" i="1"/>
  <c r="N164" i="1"/>
  <c r="M164" i="1"/>
  <c r="N132" i="1"/>
  <c r="M132" i="1"/>
  <c r="N116" i="1"/>
  <c r="M116" i="1"/>
  <c r="N100" i="1"/>
  <c r="M100" i="1"/>
  <c r="N84" i="1"/>
  <c r="M84" i="1"/>
  <c r="N36" i="1"/>
  <c r="M36" i="1"/>
  <c r="N506" i="1"/>
  <c r="M506" i="1"/>
  <c r="N498" i="1"/>
  <c r="M498" i="1"/>
  <c r="N474" i="1"/>
  <c r="M474" i="1"/>
  <c r="N466" i="1"/>
  <c r="M466" i="1"/>
  <c r="N458" i="1"/>
  <c r="M458" i="1"/>
  <c r="N450" i="1"/>
  <c r="M450" i="1"/>
  <c r="N442" i="1"/>
  <c r="M442" i="1"/>
  <c r="N434" i="1"/>
  <c r="M434" i="1"/>
  <c r="N418" i="1"/>
  <c r="M418" i="1"/>
  <c r="N410" i="1"/>
  <c r="M410" i="1"/>
  <c r="N394" i="1"/>
  <c r="M394" i="1"/>
  <c r="N386" i="1"/>
  <c r="M386" i="1"/>
  <c r="N378" i="1"/>
  <c r="M378" i="1"/>
  <c r="N370" i="1"/>
  <c r="M370" i="1"/>
  <c r="N362" i="1"/>
  <c r="M362" i="1"/>
  <c r="N346" i="1"/>
  <c r="M346" i="1"/>
  <c r="N338" i="1"/>
  <c r="M338" i="1"/>
  <c r="N330" i="1"/>
  <c r="M330" i="1"/>
  <c r="N322" i="1"/>
  <c r="M322" i="1"/>
  <c r="N314" i="1"/>
  <c r="M314" i="1"/>
  <c r="N306" i="1"/>
  <c r="M306" i="1"/>
  <c r="N298" i="1"/>
  <c r="M298" i="1"/>
  <c r="N290" i="1"/>
  <c r="M290" i="1"/>
  <c r="N282" i="1"/>
  <c r="M282" i="1"/>
  <c r="N274" i="1"/>
  <c r="M274" i="1"/>
  <c r="N258" i="1"/>
  <c r="M258" i="1"/>
  <c r="N242" i="1"/>
  <c r="M242" i="1"/>
  <c r="N234" i="1"/>
  <c r="M234" i="1"/>
  <c r="N226" i="1"/>
  <c r="M226" i="1"/>
  <c r="N218" i="1"/>
  <c r="M218" i="1"/>
  <c r="N210" i="1"/>
  <c r="M210" i="1"/>
  <c r="N202" i="1"/>
  <c r="M202" i="1"/>
  <c r="N186" i="1"/>
  <c r="M186" i="1"/>
  <c r="N178" i="1"/>
  <c r="M178" i="1"/>
  <c r="N170" i="1"/>
  <c r="M170" i="1"/>
  <c r="N162" i="1"/>
  <c r="M162" i="1"/>
  <c r="N154" i="1"/>
  <c r="M154" i="1"/>
  <c r="N146" i="1"/>
  <c r="M146" i="1"/>
  <c r="N138" i="1"/>
  <c r="M138" i="1"/>
  <c r="N130" i="1"/>
  <c r="M130" i="1"/>
  <c r="N106" i="1"/>
  <c r="M106" i="1"/>
  <c r="N98" i="1"/>
  <c r="M98" i="1"/>
  <c r="N90" i="1"/>
  <c r="M90" i="1"/>
  <c r="N82" i="1"/>
  <c r="M82" i="1"/>
  <c r="N74" i="1"/>
  <c r="M74" i="1"/>
  <c r="N66" i="1"/>
  <c r="M66" i="1"/>
  <c r="N58" i="1"/>
  <c r="M58" i="1"/>
  <c r="N50" i="1"/>
  <c r="M50" i="1"/>
  <c r="N42" i="1"/>
  <c r="M42" i="1"/>
  <c r="N34" i="1"/>
  <c r="M34" i="1"/>
  <c r="N26" i="1"/>
  <c r="M26" i="1"/>
  <c r="N18" i="1"/>
  <c r="M18" i="1"/>
  <c r="N10" i="1"/>
  <c r="M10" i="1"/>
  <c r="N494" i="1"/>
  <c r="M494" i="1"/>
  <c r="N470" i="1"/>
  <c r="M470" i="1"/>
  <c r="N382" i="1"/>
  <c r="M382" i="1"/>
  <c r="N270" i="1"/>
  <c r="M270" i="1"/>
  <c r="N254" i="1"/>
  <c r="M254" i="1"/>
  <c r="N238" i="1"/>
  <c r="M238" i="1"/>
  <c r="N214" i="1"/>
  <c r="M214" i="1"/>
  <c r="N198" i="1"/>
  <c r="M198" i="1"/>
  <c r="N190" i="1"/>
  <c r="M190" i="1"/>
  <c r="N182" i="1"/>
  <c r="M182" i="1"/>
  <c r="N174" i="1"/>
  <c r="M174" i="1"/>
  <c r="N150" i="1"/>
  <c r="M150" i="1"/>
  <c r="N78" i="1"/>
  <c r="M78" i="1"/>
  <c r="N70" i="1"/>
  <c r="M70" i="1"/>
  <c r="N62" i="1"/>
  <c r="M62" i="1"/>
  <c r="N54" i="1"/>
  <c r="M54" i="1"/>
  <c r="N46" i="1"/>
  <c r="M46" i="1"/>
  <c r="N245" i="1"/>
  <c r="M245" i="1"/>
  <c r="N221" i="1"/>
  <c r="M221" i="1"/>
  <c r="N205" i="1"/>
  <c r="M205" i="1"/>
  <c r="N157" i="1"/>
  <c r="M157" i="1"/>
  <c r="N141" i="1"/>
  <c r="M141" i="1"/>
  <c r="N125" i="1"/>
  <c r="M125" i="1"/>
  <c r="N109" i="1"/>
  <c r="M109" i="1"/>
  <c r="N93" i="1"/>
  <c r="M93" i="1"/>
  <c r="N69" i="1"/>
  <c r="M69" i="1"/>
  <c r="N492" i="1"/>
  <c r="M492" i="1"/>
  <c r="N468" i="1"/>
  <c r="M468" i="1"/>
  <c r="N316" i="1"/>
  <c r="M316" i="1"/>
  <c r="N308" i="1"/>
  <c r="M308" i="1"/>
  <c r="N244" i="1"/>
  <c r="M244" i="1"/>
  <c r="N188" i="1"/>
  <c r="M188" i="1"/>
  <c r="N124" i="1"/>
  <c r="M124" i="1"/>
  <c r="N108" i="1"/>
  <c r="M108" i="1"/>
  <c r="N92" i="1"/>
  <c r="M92" i="1"/>
  <c r="N68" i="1"/>
  <c r="M68" i="1"/>
  <c r="N60" i="1"/>
  <c r="M60" i="1"/>
  <c r="N12" i="1"/>
  <c r="M12" i="1"/>
  <c r="N505" i="1"/>
  <c r="M505" i="1"/>
  <c r="N497" i="1"/>
  <c r="M497" i="1"/>
  <c r="N489" i="1"/>
  <c r="M489" i="1"/>
  <c r="N473" i="1"/>
  <c r="M473" i="1"/>
  <c r="N465" i="1"/>
  <c r="M465" i="1"/>
  <c r="N457" i="1"/>
  <c r="M457" i="1"/>
  <c r="N449" i="1"/>
  <c r="M449" i="1"/>
  <c r="N441" i="1"/>
  <c r="M441" i="1"/>
  <c r="N433" i="1"/>
  <c r="M433" i="1"/>
  <c r="N425" i="1"/>
  <c r="M425" i="1"/>
  <c r="N385" i="1"/>
  <c r="M385" i="1"/>
  <c r="N377" i="1"/>
  <c r="M377" i="1"/>
  <c r="N369" i="1"/>
  <c r="M369" i="1"/>
  <c r="N361" i="1"/>
  <c r="M361" i="1"/>
  <c r="N345" i="1"/>
  <c r="M345" i="1"/>
  <c r="N337" i="1"/>
  <c r="M337" i="1"/>
  <c r="N329" i="1"/>
  <c r="M329" i="1"/>
  <c r="N321" i="1"/>
  <c r="M321" i="1"/>
  <c r="N313" i="1"/>
  <c r="M313" i="1"/>
  <c r="N297" i="1"/>
  <c r="M297" i="1"/>
  <c r="N289" i="1"/>
  <c r="M289" i="1"/>
  <c r="N281" i="1"/>
  <c r="M281" i="1"/>
  <c r="N273" i="1"/>
  <c r="M273" i="1"/>
  <c r="N257" i="1"/>
  <c r="M257" i="1"/>
  <c r="N241" i="1"/>
  <c r="M241" i="1"/>
  <c r="N233" i="1"/>
  <c r="M233" i="1"/>
  <c r="N225" i="1"/>
  <c r="M225" i="1"/>
  <c r="N217" i="1"/>
  <c r="M217" i="1"/>
  <c r="N209" i="1"/>
  <c r="M209" i="1"/>
  <c r="N201" i="1"/>
  <c r="M201" i="1"/>
  <c r="N185" i="1"/>
  <c r="M185" i="1"/>
  <c r="N177" i="1"/>
  <c r="M177" i="1"/>
  <c r="N169" i="1"/>
  <c r="M169" i="1"/>
  <c r="N153" i="1"/>
  <c r="M153" i="1"/>
  <c r="N145" i="1"/>
  <c r="M145" i="1"/>
  <c r="N137" i="1"/>
  <c r="M137" i="1"/>
  <c r="N129" i="1"/>
  <c r="M129" i="1"/>
  <c r="N121" i="1"/>
  <c r="M121" i="1"/>
  <c r="N113" i="1"/>
  <c r="M113" i="1"/>
  <c r="N105" i="1"/>
  <c r="M105" i="1"/>
  <c r="N89" i="1"/>
  <c r="M89" i="1"/>
  <c r="N81" i="1"/>
  <c r="M81" i="1"/>
  <c r="N73" i="1"/>
  <c r="M73" i="1"/>
  <c r="N65" i="1"/>
  <c r="M65" i="1"/>
  <c r="N57" i="1"/>
  <c r="M57" i="1"/>
  <c r="N49" i="1"/>
  <c r="M49" i="1"/>
  <c r="N41" i="1"/>
  <c r="M41" i="1"/>
  <c r="N33" i="1"/>
  <c r="M33" i="1"/>
  <c r="N25" i="1"/>
  <c r="M25" i="1"/>
  <c r="N17" i="1"/>
  <c r="M17" i="1"/>
  <c r="N9" i="1"/>
  <c r="M9" i="1"/>
  <c r="N302" i="1"/>
  <c r="M302" i="1"/>
  <c r="N22" i="1"/>
  <c r="M22" i="1"/>
  <c r="N493" i="1"/>
  <c r="M493" i="1"/>
  <c r="N461" i="1"/>
  <c r="M461" i="1"/>
  <c r="N437" i="1"/>
  <c r="M437" i="1"/>
  <c r="N413" i="1"/>
  <c r="M413" i="1"/>
  <c r="N349" i="1"/>
  <c r="M349" i="1"/>
  <c r="N261" i="1"/>
  <c r="M261" i="1"/>
  <c r="N45" i="1"/>
  <c r="M45" i="1"/>
  <c r="N300" i="1"/>
  <c r="M300" i="1"/>
  <c r="N252" i="1"/>
  <c r="M252" i="1"/>
  <c r="N504" i="1"/>
  <c r="M504" i="1"/>
  <c r="N496" i="1"/>
  <c r="M496" i="1"/>
  <c r="N488" i="1"/>
  <c r="M488" i="1"/>
  <c r="N480" i="1"/>
  <c r="M480" i="1"/>
  <c r="N472" i="1"/>
  <c r="M472" i="1"/>
  <c r="N456" i="1"/>
  <c r="M456" i="1"/>
  <c r="N448" i="1"/>
  <c r="M448" i="1"/>
  <c r="N440" i="1"/>
  <c r="M440" i="1"/>
  <c r="N432" i="1"/>
  <c r="M432" i="1"/>
  <c r="N424" i="1"/>
  <c r="M424" i="1"/>
  <c r="N416" i="1"/>
  <c r="M416" i="1"/>
  <c r="N400" i="1"/>
  <c r="M400" i="1"/>
  <c r="N376" i="1"/>
  <c r="M376" i="1"/>
  <c r="N368" i="1"/>
  <c r="M368" i="1"/>
  <c r="N360" i="1"/>
  <c r="M360" i="1"/>
  <c r="N352" i="1"/>
  <c r="M352" i="1"/>
  <c r="N336" i="1"/>
  <c r="M336" i="1"/>
  <c r="N328" i="1"/>
  <c r="M328" i="1"/>
  <c r="N312" i="1"/>
  <c r="M312" i="1"/>
  <c r="N304" i="1"/>
  <c r="M304" i="1"/>
  <c r="N288" i="1"/>
  <c r="M288" i="1"/>
  <c r="N272" i="1"/>
  <c r="M272" i="1"/>
  <c r="N264" i="1"/>
  <c r="M264" i="1"/>
  <c r="N248" i="1"/>
  <c r="M248" i="1"/>
  <c r="N232" i="1"/>
  <c r="M232" i="1"/>
  <c r="N216" i="1"/>
  <c r="M216" i="1"/>
  <c r="N208" i="1"/>
  <c r="M208" i="1"/>
  <c r="N200" i="1"/>
  <c r="M200" i="1"/>
  <c r="N192" i="1"/>
  <c r="M192" i="1"/>
  <c r="N184" i="1"/>
  <c r="M184" i="1"/>
  <c r="N176" i="1"/>
  <c r="M176" i="1"/>
  <c r="N168" i="1"/>
  <c r="M168" i="1"/>
  <c r="N144" i="1"/>
  <c r="M144" i="1"/>
  <c r="N136" i="1"/>
  <c r="M136" i="1"/>
  <c r="N128" i="1"/>
  <c r="M128" i="1"/>
  <c r="N120" i="1"/>
  <c r="M120" i="1"/>
  <c r="N112" i="1"/>
  <c r="M112" i="1"/>
  <c r="N104" i="1"/>
  <c r="M104" i="1"/>
  <c r="N96" i="1"/>
  <c r="M96" i="1"/>
  <c r="N88" i="1"/>
  <c r="M88" i="1"/>
  <c r="N80" i="1"/>
  <c r="M80" i="1"/>
  <c r="N72" i="1"/>
  <c r="M72" i="1"/>
  <c r="N64" i="1"/>
  <c r="M64" i="1"/>
  <c r="N48" i="1"/>
  <c r="M48" i="1"/>
  <c r="N40" i="1"/>
  <c r="M40" i="1"/>
  <c r="N32" i="1"/>
  <c r="M32" i="1"/>
  <c r="N16" i="1"/>
  <c r="M16" i="1"/>
  <c r="N422" i="1"/>
  <c r="M422" i="1"/>
  <c r="N30" i="1"/>
  <c r="M30" i="1"/>
  <c r="N501" i="1"/>
  <c r="M501" i="1"/>
  <c r="N469" i="1"/>
  <c r="M469" i="1"/>
  <c r="N445" i="1"/>
  <c r="M445" i="1"/>
  <c r="N421" i="1"/>
  <c r="M421" i="1"/>
  <c r="N365" i="1"/>
  <c r="M365" i="1"/>
  <c r="N277" i="1"/>
  <c r="M277" i="1"/>
  <c r="N21" i="1"/>
  <c r="M21" i="1"/>
  <c r="N476" i="1"/>
  <c r="M476" i="1"/>
  <c r="N452" i="1"/>
  <c r="M452" i="1"/>
  <c r="N420" i="1"/>
  <c r="M420" i="1"/>
  <c r="N396" i="1"/>
  <c r="M396" i="1"/>
  <c r="N236" i="1"/>
  <c r="M236" i="1"/>
  <c r="N196" i="1"/>
  <c r="M196" i="1"/>
  <c r="N20" i="1"/>
  <c r="M20" i="1"/>
  <c r="N503" i="1"/>
  <c r="M503" i="1"/>
  <c r="N495" i="1"/>
  <c r="M495" i="1"/>
  <c r="N479" i="1"/>
  <c r="M479" i="1"/>
  <c r="N455" i="1"/>
  <c r="M455" i="1"/>
  <c r="N447" i="1"/>
  <c r="M447" i="1"/>
  <c r="N415" i="1"/>
  <c r="M415" i="1"/>
  <c r="N407" i="1"/>
  <c r="M407" i="1"/>
  <c r="N399" i="1"/>
  <c r="M399" i="1"/>
  <c r="N383" i="1"/>
  <c r="M383" i="1"/>
  <c r="N375" i="1"/>
  <c r="M375" i="1"/>
  <c r="N367" i="1"/>
  <c r="M367" i="1"/>
  <c r="N359" i="1"/>
  <c r="M359" i="1"/>
  <c r="N351" i="1"/>
  <c r="M351" i="1"/>
  <c r="N343" i="1"/>
  <c r="M343" i="1"/>
  <c r="N335" i="1"/>
  <c r="M335" i="1"/>
  <c r="N327" i="1"/>
  <c r="M327" i="1"/>
  <c r="N319" i="1"/>
  <c r="M319" i="1"/>
  <c r="N311" i="1"/>
  <c r="M311" i="1"/>
  <c r="N303" i="1"/>
  <c r="M303" i="1"/>
  <c r="N295" i="1"/>
  <c r="M295" i="1"/>
  <c r="N271" i="1"/>
  <c r="M271" i="1"/>
  <c r="N263" i="1"/>
  <c r="M263" i="1"/>
  <c r="N255" i="1"/>
  <c r="M255" i="1"/>
  <c r="N247" i="1"/>
  <c r="M247" i="1"/>
  <c r="N239" i="1"/>
  <c r="M239" i="1"/>
  <c r="N231" i="1"/>
  <c r="M231" i="1"/>
  <c r="N223" i="1"/>
  <c r="M223" i="1"/>
  <c r="N215" i="1"/>
  <c r="M215" i="1"/>
  <c r="N199" i="1"/>
  <c r="M199" i="1"/>
  <c r="N191" i="1"/>
  <c r="M191" i="1"/>
  <c r="N183" i="1"/>
  <c r="M183" i="1"/>
  <c r="N175" i="1"/>
  <c r="M175" i="1"/>
  <c r="N167" i="1"/>
  <c r="M167" i="1"/>
  <c r="N151" i="1"/>
  <c r="M151" i="1"/>
  <c r="N143" i="1"/>
  <c r="M143" i="1"/>
  <c r="N135" i="1"/>
  <c r="M135" i="1"/>
  <c r="N127" i="1"/>
  <c r="M127" i="1"/>
  <c r="N119" i="1"/>
  <c r="M119" i="1"/>
  <c r="N111" i="1"/>
  <c r="M111" i="1"/>
  <c r="N103" i="1"/>
  <c r="M103" i="1"/>
  <c r="N95" i="1"/>
  <c r="M95" i="1"/>
  <c r="N87" i="1"/>
  <c r="M87" i="1"/>
  <c r="N71" i="1"/>
  <c r="M71" i="1"/>
  <c r="N63" i="1"/>
  <c r="M63" i="1"/>
  <c r="N55" i="1"/>
  <c r="M55" i="1"/>
  <c r="N23" i="1"/>
  <c r="M23" i="1"/>
  <c r="N15" i="1"/>
  <c r="M15" i="1"/>
  <c r="N267" i="1"/>
  <c r="N251" i="1"/>
  <c r="N211" i="1"/>
  <c r="N195" i="1"/>
  <c r="N155" i="1"/>
  <c r="N123" i="1"/>
  <c r="N19" i="1"/>
  <c r="N287" i="1"/>
  <c r="N39" i="1"/>
  <c r="N502" i="1"/>
  <c r="N398" i="1"/>
  <c r="N326" i="1"/>
  <c r="N206" i="1"/>
  <c r="N134" i="1"/>
  <c r="N38" i="1"/>
  <c r="N405" i="1"/>
  <c r="N285" i="1"/>
  <c r="N500" i="1"/>
  <c r="N444" i="1"/>
  <c r="N436" i="1"/>
  <c r="N428" i="1"/>
  <c r="N404" i="1"/>
  <c r="N388" i="1"/>
  <c r="N380" i="1"/>
  <c r="N372" i="1"/>
  <c r="N356" i="1"/>
  <c r="N348" i="1"/>
  <c r="N332" i="1"/>
  <c r="N324" i="1"/>
  <c r="N284" i="1"/>
  <c r="N276" i="1"/>
  <c r="N268" i="1"/>
  <c r="N220" i="1"/>
  <c r="N204" i="1"/>
  <c r="N172" i="1"/>
  <c r="N156" i="1"/>
  <c r="N148" i="1"/>
  <c r="N140" i="1"/>
  <c r="N76" i="1"/>
  <c r="N52" i="1"/>
  <c r="N28" i="1"/>
  <c r="N507" i="1"/>
  <c r="N491" i="1"/>
  <c r="N435" i="1"/>
  <c r="N490" i="1"/>
  <c r="N482" i="1"/>
  <c r="N426" i="1"/>
  <c r="N402" i="1"/>
  <c r="N354" i="1"/>
  <c r="N266" i="1"/>
  <c r="N250" i="1"/>
  <c r="N194" i="1"/>
  <c r="N122" i="1"/>
  <c r="N114" i="1"/>
  <c r="N471" i="1"/>
  <c r="N463" i="1"/>
  <c r="N439" i="1"/>
  <c r="N431" i="1"/>
  <c r="N423" i="1"/>
  <c r="N391" i="1"/>
  <c r="N207" i="1"/>
  <c r="N79" i="1"/>
  <c r="N31" i="1"/>
  <c r="N454" i="1"/>
  <c r="N406" i="1"/>
  <c r="N390" i="1"/>
  <c r="N278" i="1"/>
  <c r="N166" i="1"/>
  <c r="N126" i="1"/>
  <c r="N173" i="1"/>
  <c r="N499" i="1"/>
  <c r="N481" i="1"/>
  <c r="N417" i="1"/>
  <c r="N409" i="1"/>
  <c r="N401" i="1"/>
  <c r="N393" i="1"/>
  <c r="N353" i="1"/>
  <c r="N305" i="1"/>
  <c r="N265" i="1"/>
  <c r="N249" i="1"/>
  <c r="N193" i="1"/>
  <c r="N161" i="1"/>
  <c r="N97" i="1"/>
  <c r="N487" i="1"/>
  <c r="N279" i="1"/>
  <c r="N159" i="1"/>
  <c r="N47" i="1"/>
  <c r="N414" i="1"/>
  <c r="N366" i="1"/>
  <c r="N294" i="1"/>
  <c r="N86" i="1"/>
  <c r="N29" i="1"/>
  <c r="N464" i="1"/>
  <c r="N408" i="1"/>
  <c r="N392" i="1"/>
  <c r="N384" i="1"/>
  <c r="N344" i="1"/>
  <c r="N320" i="1"/>
  <c r="N296" i="1"/>
  <c r="N280" i="1"/>
  <c r="N256" i="1"/>
  <c r="N240" i="1"/>
  <c r="N224" i="1"/>
  <c r="N160" i="1"/>
  <c r="N152" i="1"/>
  <c r="N56" i="1"/>
  <c r="N24" i="1"/>
  <c r="Z8" i="1"/>
  <c r="Z9" i="1"/>
  <c r="AC24" i="1" l="1"/>
  <c r="AC25" i="1"/>
  <c r="Z10" i="1"/>
</calcChain>
</file>

<file path=xl/sharedStrings.xml><?xml version="1.0" encoding="utf-8"?>
<sst xmlns="http://schemas.openxmlformats.org/spreadsheetml/2006/main" count="920" uniqueCount="111">
  <si>
    <t>Hypothetical Home Mortgage Data</t>
  </si>
  <si>
    <t>Geographic Data</t>
  </si>
  <si>
    <t>Borrower Data</t>
  </si>
  <si>
    <t>Mortgage Data</t>
  </si>
  <si>
    <t>Borrower ID Number</t>
  </si>
  <si>
    <t>Wide Area Location Code</t>
  </si>
  <si>
    <t>% Minority in Local Area</t>
  </si>
  <si>
    <t>Median Family Income in Local Area</t>
  </si>
  <si>
    <t>Borrower Annual Income</t>
  </si>
  <si>
    <t>Age of Borrower</t>
  </si>
  <si>
    <t>Appraised Value of Home</t>
  </si>
  <si>
    <t>Amount Borrowed</t>
  </si>
  <si>
    <t>Length of Mortgage in Months</t>
  </si>
  <si>
    <t>&lt; 25</t>
  </si>
  <si>
    <t>25 to 34</t>
  </si>
  <si>
    <t>35 to 44</t>
  </si>
  <si>
    <t>45 to 54</t>
  </si>
  <si>
    <t>55 to 64</t>
  </si>
  <si>
    <t>65 to 74</t>
  </si>
  <si>
    <t>&gt; 74</t>
  </si>
  <si>
    <t>Minority range</t>
  </si>
  <si>
    <t>Row Labels</t>
  </si>
  <si>
    <t>0-10</t>
  </si>
  <si>
    <t>10-20</t>
  </si>
  <si>
    <t>20-30</t>
  </si>
  <si>
    <t>30-40</t>
  </si>
  <si>
    <t>40-50</t>
  </si>
  <si>
    <t>Grand Total</t>
  </si>
  <si>
    <t>Count of Borrower ID Number</t>
  </si>
  <si>
    <t>More than 50</t>
  </si>
  <si>
    <t>LTV</t>
  </si>
  <si>
    <t>Silver pool target borrowers</t>
  </si>
  <si>
    <t>not selected</t>
  </si>
  <si>
    <t>Golden pool target borrowers</t>
  </si>
  <si>
    <t>selected</t>
  </si>
  <si>
    <t>DTI</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</si>
  <si>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</si>
  <si>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</si>
  <si>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</si>
  <si>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</si>
  <si>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</si>
  <si>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</si>
  <si>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</si>
  <si>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</si>
  <si>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</si>
  <si>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</si>
  <si>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</si>
  <si>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</si>
  <si>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</si>
  <si>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</si>
  <si>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</si>
  <si>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</si>
  <si>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</si>
  <si>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</si>
  <si>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</si>
  <si>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</si>
  <si>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</si>
  <si>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</si>
  <si>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</si>
  <si>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</si>
  <si>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ltv</t>
  </si>
  <si>
    <t>dti</t>
  </si>
  <si>
    <t>loan term</t>
  </si>
  <si>
    <t>first time buyer</t>
  </si>
  <si>
    <t>First Time Buyer? (1=Yes, 0=No)</t>
  </si>
  <si>
    <t xml:space="preserve">CORRELATION OF THESE VARIABLES WITH INTEREST RATE </t>
  </si>
  <si>
    <t>borrower income</t>
  </si>
  <si>
    <t xml:space="preserve">Interest rate </t>
  </si>
  <si>
    <t>MODEL 1 = 4.0145+0.020648*DTI</t>
  </si>
  <si>
    <t>Highest adjusted R^2 is in the model including DTI and LTV</t>
  </si>
  <si>
    <t>SO, final model 2 becomes</t>
  </si>
  <si>
    <t>MODEL 2 = 3.25977+ 0.021853*DTI + 0.010322*LTV</t>
  </si>
  <si>
    <t>MODEL 2 = 3.578075+ 0.020306*DTI +0.001382*Loan term</t>
  </si>
  <si>
    <t>MODEL 2 = 3.973565+ 0.020494*DTI +0.405149*First time buyer or not</t>
  </si>
  <si>
    <t>MODEL 2 = 3.25977+ 0.020623909*DTI +0.000000135*Annual income</t>
  </si>
  <si>
    <t>MODEL 3 = 3.34820735+ 0.0215681*DTI + 0.00874677*LTV+ 0.2647166*First time buyer or not</t>
  </si>
  <si>
    <t>FINAL MODEL 2 = 3.25977+ 0.021853*DTI + 0.010322*LTV</t>
  </si>
  <si>
    <t>MODEL 3 = 3.27219789+ 0.02183579*DTI + 0.01030494*LTV-0.000000084163*Annual Income</t>
  </si>
  <si>
    <t>FINAL MODEL 3 = 3.34820735+ 0.0215681*DTI + 0.00874677*LTV+ 0.2647166*First time buyer or not</t>
  </si>
  <si>
    <t xml:space="preserve">Since Adj R^2 is highest in this , So </t>
  </si>
  <si>
    <t>SINCE BOTH OF THEM DECREASES ADJ R^2, SO FINAL MODEL IS MODEL 3 ONLY</t>
  </si>
  <si>
    <t>Total No. of borrowers</t>
  </si>
  <si>
    <t>Percentage of borrowers with LTV&lt;80%</t>
  </si>
  <si>
    <t>No. of borrowers with LTV&lt;80%</t>
  </si>
  <si>
    <t>Silver pool</t>
  </si>
  <si>
    <t>Golden Pool</t>
  </si>
  <si>
    <t>p</t>
  </si>
  <si>
    <t>borrowers where %Minority &gt; 50 AND Location Code = 6</t>
  </si>
  <si>
    <t>borrowers where %Minority &gt; 50</t>
  </si>
  <si>
    <t>concentrated in one location</t>
  </si>
  <si>
    <t>AVG INTEREST RATE</t>
  </si>
  <si>
    <t>First Time Buyer</t>
  </si>
  <si>
    <t>Avg Interest Rate</t>
  </si>
  <si>
    <t>No (0)</t>
  </si>
  <si>
    <t>Yes (1)</t>
  </si>
  <si>
    <t>*Golden Pool income threshold ($222,400) represents the top 10% of borrowers by income in this portfolio.</t>
  </si>
  <si>
    <t>Total golden pool borrowers</t>
  </si>
  <si>
    <t>Total silver pool borrowers</t>
  </si>
  <si>
    <t>Total Cross-Sell Opportunities (Silver + Golden)</t>
  </si>
  <si>
    <t>LTV greater than or less than 80% status</t>
  </si>
  <si>
    <t>Less than 80%</t>
  </si>
  <si>
    <t>More than 80%</t>
  </si>
  <si>
    <t>RESIDUAL OUTPUT</t>
  </si>
  <si>
    <t>Observation</t>
  </si>
  <si>
    <t xml:space="preserve">Predicted Interest rate </t>
  </si>
  <si>
    <t>Residuals</t>
  </si>
  <si>
    <t xml:space="preserve">Income- Top 10% </t>
  </si>
  <si>
    <t>MODEL 4 = 3.230076922+ 0.021331775*DTI + 0.007913827*LTV+0.000568233*Loan term+0.26059331*First time buyer or not</t>
  </si>
  <si>
    <t>MODEL 3 = 3.1349037+ 0.0215954*DTI +0.009405025+0.00060772*Loan term</t>
  </si>
  <si>
    <t>MODEL 3 = 3.3497166+ 0.021566255*DTI + 0.008746752*LTV-0.000000081106*Annual Income</t>
  </si>
  <si>
    <t xml:space="preserve">Common pool of both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</si>
</sst>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font>
    <font>
      <b/>
      <sz val="14"/>
      <color theme="1"/>
      <name val="Calibri"/>
      <family val="2"/>
      <scheme val="minor"/>
    </font>
    <font>
      <b/>
      <sz val="14"/>
      <color theme="0"/>
      <name val="Calibri"/>
      <family val="2"/>
      <scheme val="minor"/>
    </font>
    <font>
      <sz val="11"/>
      <color theme="0"/>
      <name val="Calibri"/>
      <family val="2"/>
      <scheme val="minor"/>
    </font>
    <font>
      <b/>
      <sz val="11"/>
      <color theme="0"/>
      <name val="Calibri"/>
      <family val="2"/>
      <scheme val="minor"/>
    </font>
    <font>
      <i/>
      <sz val="11"/>
      <color theme="1"/>
      <name val="Calibri"/>
      <family val="2"/>
    </font>
    <font>
      <sz val="16"/>
      <color theme="1"/>
      <name val="Calibri"/>
      <family val="2"/>
    </font>
    <font>
      <sz val="14"/>
      <color theme="1"/>
      <name val="Calibri"/>
      <family val="2"/>
    </font>
    <font>
      <b/>
      <sz val="11"/>
      <color theme="1"/>
      <name val="Calibri"/>
      <family val="2"/>
    </font>
    <font>
      <sz val="10"/>
      <color theme="1"/>
      <name val="Arial Unicode MS"/>
    </font>
    <font>
      <b/>
      <sz val="14"/>
      <color theme="1"/>
      <name val="Calibri"/>
      <family val="2"/>
    </font>
  </fonts>
  <fills count="10">
    <fill>
      <patternFill patternType="none"/>
    </fill>
    <fill>
      <patternFill patternType="gray125"/>
    </fill>
    <fill>
      <patternFill patternType="solid">
        <fgColor theme="4" tint="-0.249977111117893"/>
        <bgColor indexed="64"/>
      </patternFill>
    </fill>
    <fill>
      <patternFill patternType="solid">
        <fgColor theme="9" tint="-0.499984740745262"/>
        <bgColor indexed="64"/>
      </patternFill>
    </fill>
    <fill>
      <patternFill patternType="solid">
        <fgColor rgb="FF7030A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59999389629810485"/>
        <bgColor indexed="64"/>
      </patternFill>
    </fill>
  </fills>
  <borders count="12">
    <border>
      <left/>
      <right/>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2">
    <xf numFmtId="0" fontId="0" fillId="0" borderId="0" xfId="0"/>
    <xf numFmtId="0" fontId="1" fillId="0" borderId="0" xfId="0" applyFont="1"/>
    <xf numFmtId="0" fontId="2" fillId="2" borderId="0" xfId="0" applyFont="1" applyFill="1"/>
    <xf numFmtId="0" fontId="3" fillId="2" borderId="0" xfId="0" applyFont="1" applyFill="1"/>
    <xf numFmtId="0" fontId="2" fillId="3" borderId="0" xfId="0" applyFont="1" applyFill="1"/>
    <xf numFmtId="0" fontId="3" fillId="3" borderId="0" xfId="0" applyFont="1" applyFill="1"/>
    <xf numFmtId="0" fontId="0" fillId="3" borderId="0" xfId="0" applyFill="1"/>
    <xf numFmtId="0" fontId="2" fillId="4" borderId="0" xfId="0" applyFont="1" applyFill="1"/>
    <xf numFmtId="0" fontId="4" fillId="4" borderId="0" xfId="0" applyFont="1" applyFill="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0" borderId="1" xfId="0" applyBorder="1"/>
    <xf numFmtId="0" fontId="5" fillId="0" borderId="2" xfId="0" applyFont="1" applyBorder="1" applyAlignment="1">
      <alignment horizontal="center"/>
    </xf>
    <xf numFmtId="0" fontId="5" fillId="0" borderId="2" xfId="0" applyFont="1" applyBorder="1" applyAlignment="1">
      <alignment horizontal="centerContinuous"/>
    </xf>
    <xf numFmtId="0" fontId="6" fillId="5" borderId="3" xfId="0" applyFont="1" applyFill="1" applyBorder="1"/>
    <xf numFmtId="0" fontId="6" fillId="5" borderId="4" xfId="0" applyFont="1" applyFill="1" applyBorder="1"/>
    <xf numFmtId="0" fontId="0" fillId="5" borderId="4" xfId="0" applyFill="1" applyBorder="1"/>
    <xf numFmtId="0" fontId="0" fillId="5" borderId="5" xfId="0" applyFill="1" applyBorder="1"/>
    <xf numFmtId="0" fontId="7" fillId="6" borderId="3" xfId="0" applyFont="1" applyFill="1" applyBorder="1"/>
    <xf numFmtId="0" fontId="7" fillId="6" borderId="5" xfId="0" applyFont="1" applyFill="1" applyBorder="1"/>
    <xf numFmtId="0" fontId="5" fillId="0" borderId="0" xfId="0" applyFont="1" applyAlignment="1">
      <alignment horizontal="centerContinuous"/>
    </xf>
    <xf numFmtId="0" fontId="5" fillId="0" borderId="0" xfId="0" applyFont="1" applyAlignment="1">
      <alignment horizontal="center"/>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7" borderId="0" xfId="0" applyFill="1"/>
    <xf numFmtId="10" fontId="0" fillId="0" borderId="11" xfId="0" applyNumberFormat="1" applyBorder="1"/>
    <xf numFmtId="0" fontId="6" fillId="5" borderId="0" xfId="0" applyFont="1" applyFill="1"/>
    <xf numFmtId="0" fontId="0" fillId="5" borderId="0" xfId="0" applyFill="1"/>
    <xf numFmtId="0" fontId="7" fillId="6" borderId="0" xfId="0" applyFont="1" applyFill="1"/>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0" fillId="0" borderId="8" xfId="0" applyBorder="1" applyAlignment="1">
      <alignment vertical="center" wrapText="1"/>
    </xf>
    <xf numFmtId="0" fontId="9" fillId="0" borderId="9" xfId="0" applyFont="1" applyBorder="1" applyAlignment="1">
      <alignment vertical="center" wrapText="1"/>
    </xf>
    <xf numFmtId="0" fontId="0" fillId="0" borderId="10" xfId="0" applyBorder="1" applyAlignment="1">
      <alignment vertical="center" wrapText="1"/>
    </xf>
    <xf numFmtId="0" fontId="9" fillId="0" borderId="11" xfId="0" applyFont="1" applyBorder="1" applyAlignment="1">
      <alignment vertical="center" wrapText="1"/>
    </xf>
    <xf numFmtId="0" fontId="0" fillId="0" borderId="3" xfId="0" applyBorder="1"/>
    <xf numFmtId="0" fontId="0" fillId="0" borderId="5" xfId="0" applyBorder="1"/>
    <xf numFmtId="0" fontId="10" fillId="7" borderId="0" xfId="0" applyFont="1" applyFill="1"/>
    <xf numFmtId="10" fontId="0" fillId="0" borderId="0" xfId="0" applyNumberFormat="1"/>
    <xf numFmtId="0" fontId="6" fillId="8" borderId="3" xfId="0" applyFont="1" applyFill="1" applyBorder="1"/>
    <xf numFmtId="0" fontId="6" fillId="8" borderId="4" xfId="0" applyFont="1" applyFill="1" applyBorder="1"/>
    <xf numFmtId="0" fontId="0" fillId="8" borderId="4" xfId="0" applyFill="1" applyBorder="1"/>
    <xf numFmtId="0" fontId="0" fillId="8" borderId="5" xfId="0" applyFill="1" applyBorder="1"/>
    <xf numFmtId="0" fontId="7" fillId="9" borderId="3" xfId="0" applyFont="1" applyFill="1" applyBorder="1"/>
    <xf numFmtId="0" fontId="7" fillId="9"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mortagage Analysis Excel.xlsx]Pivot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Borrower Distribution by % Minority in Local Area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D3DC-43D3-9A67-30A52826BB3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D3DC-43D3-9A67-30A52826BB3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D3DC-43D3-9A67-30A52826BB3A}"/>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D3DC-43D3-9A67-30A52826BB3A}"/>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4-D3DC-43D3-9A67-30A52826BB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0-10</c:v>
                </c:pt>
                <c:pt idx="1">
                  <c:v>10-20</c:v>
                </c:pt>
                <c:pt idx="2">
                  <c:v>20-30</c:v>
                </c:pt>
                <c:pt idx="3">
                  <c:v>30-40</c:v>
                </c:pt>
                <c:pt idx="4">
                  <c:v>40-50</c:v>
                </c:pt>
                <c:pt idx="5">
                  <c:v>More than 50</c:v>
                </c:pt>
              </c:strCache>
            </c:strRef>
          </c:cat>
          <c:val>
            <c:numRef>
              <c:f>'Pivot table'!$B$4:$B$10</c:f>
              <c:numCache>
                <c:formatCode>General</c:formatCode>
                <c:ptCount val="6"/>
                <c:pt idx="0">
                  <c:v>116</c:v>
                </c:pt>
                <c:pt idx="1">
                  <c:v>136</c:v>
                </c:pt>
                <c:pt idx="2">
                  <c:v>69</c:v>
                </c:pt>
                <c:pt idx="3">
                  <c:v>56</c:v>
                </c:pt>
                <c:pt idx="4">
                  <c:v>38</c:v>
                </c:pt>
                <c:pt idx="5">
                  <c:v>85</c:v>
                </c:pt>
              </c:numCache>
            </c:numRef>
          </c:val>
          <c:extLst>
            <c:ext xmlns:c16="http://schemas.microsoft.com/office/drawing/2014/chart" uri="{C3380CC4-5D6E-409C-BE32-E72D297353CC}">
              <c16:uniqueId val="{00000000-60C4-46A6-8CA6-9573CC153C4A}"/>
            </c:ext>
          </c:extLst>
        </c:ser>
        <c:dLbls>
          <c:dLblPos val="outEnd"/>
          <c:showLegendKey val="0"/>
          <c:showVal val="1"/>
          <c:showCatName val="0"/>
          <c:showSerName val="0"/>
          <c:showPercent val="0"/>
          <c:showBubbleSize val="0"/>
        </c:dLbls>
        <c:gapWidth val="219"/>
        <c:overlap val="-27"/>
        <c:axId val="264592192"/>
        <c:axId val="270994480"/>
      </c:barChart>
      <c:catAx>
        <c:axId val="264592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Minority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94480"/>
        <c:crosses val="autoZero"/>
        <c:auto val="1"/>
        <c:lblAlgn val="ctr"/>
        <c:lblOffset val="100"/>
        <c:noMultiLvlLbl val="0"/>
      </c:catAx>
      <c:valAx>
        <c:axId val="270994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borrowers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9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mortagage Analysis Excel.xlsx]Pivot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Borrower Concentration Across High-Minority Locations (&gt;50%)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6</a:t>
                </a:r>
                <a:r>
                  <a:rPr lang="en-US" baseline="0"/>
                  <a:t>, </a:t>
                </a:r>
                <a:fld id="{D6EBA607-03A3-4846-A238-62DEE2F7FF1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8</a:t>
                </a:r>
                <a:r>
                  <a:rPr lang="en-US" baseline="0"/>
                  <a:t>, </a:t>
                </a:r>
                <a:fld id="{02AD7650-870F-467D-9658-B5E3270B78A4}"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12</a:t>
                </a:r>
                <a:r>
                  <a:rPr lang="en-US" baseline="0"/>
                  <a:t>, </a:t>
                </a:r>
                <a:fld id="{5D3EE1F7-CBF7-4806-BA3C-FCA4561C71A4}"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13</a:t>
                </a:r>
                <a:r>
                  <a:rPr lang="en-US" baseline="0"/>
                  <a:t>, </a:t>
                </a:r>
                <a:fld id="{3C01D1FB-0579-4523-AD62-4BE59C876F5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15</a:t>
                </a:r>
                <a:r>
                  <a:rPr lang="en-US" baseline="0"/>
                  <a:t>, </a:t>
                </a:r>
                <a:fld id="{AE1EC972-9F10-4855-BCFE-BB15B1922119}"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17</a:t>
                </a:r>
                <a:r>
                  <a:rPr lang="en-US" baseline="0"/>
                  <a:t>, </a:t>
                </a:r>
                <a:fld id="{058FDEB7-B474-4C03-BB26-C54AD8E33D9F}"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18</a:t>
                </a:r>
                <a:r>
                  <a:rPr lang="en-US" baseline="0"/>
                  <a:t>, </a:t>
                </a:r>
                <a:fld id="{B385C5CA-C5A4-4F03-80C7-6139C26137B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21</a:t>
                </a:r>
                <a:r>
                  <a:rPr lang="en-US" baseline="0"/>
                  <a:t>, </a:t>
                </a:r>
                <a:fld id="{F6463A69-008A-446C-BAF1-6FD6E896A17F}"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22</a:t>
                </a:r>
                <a:r>
                  <a:rPr lang="en-US" baseline="0"/>
                  <a:t>, </a:t>
                </a:r>
                <a:fld id="{99C356C3-C7A9-4AED-BADB-1D84C7D08E2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24</a:t>
                </a:r>
                <a:r>
                  <a:rPr lang="en-US" baseline="0"/>
                  <a:t>, </a:t>
                </a:r>
                <a:fld id="{7CAC669C-6E4E-4B44-9258-F444B81FCCC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27</a:t>
                </a:r>
                <a:r>
                  <a:rPr lang="en-US" baseline="0"/>
                  <a:t>, </a:t>
                </a:r>
                <a:fld id="{2FE21545-AD8D-4FF1-9D73-BE272E77EE47}"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32</a:t>
                </a:r>
                <a:r>
                  <a:rPr lang="en-US" baseline="0"/>
                  <a:t>, </a:t>
                </a:r>
                <a:fld id="{D62F59DF-F066-488A-A44F-40005AF09BD8}"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34</a:t>
                </a:r>
                <a:r>
                  <a:rPr lang="en-US" baseline="0"/>
                  <a:t>, </a:t>
                </a:r>
                <a:fld id="{1BF3F505-499F-4C73-8EBE-C0E6206EF5C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35</a:t>
                </a:r>
                <a:r>
                  <a:rPr lang="en-US" baseline="0"/>
                  <a:t>, </a:t>
                </a:r>
                <a:fld id="{D7D7BDC9-AEDD-4692-A57D-A2E9AA2D8EF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36</a:t>
                </a:r>
                <a:r>
                  <a:rPr lang="en-US" baseline="0"/>
                  <a:t>, </a:t>
                </a:r>
                <a:fld id="{9392B9AA-9F67-4538-9FFC-6D721C1C68D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39</a:t>
                </a:r>
                <a:r>
                  <a:rPr lang="en-US" baseline="0"/>
                  <a:t>, </a:t>
                </a:r>
                <a:fld id="{A03E181A-FF98-4D67-BDB1-91FFE7DB6A1B}"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42</a:t>
                </a:r>
                <a:r>
                  <a:rPr lang="en-US" baseline="0"/>
                  <a:t>, </a:t>
                </a:r>
                <a:fld id="{E4336F38-A4BA-478E-998F-9FC7D1C87061}"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45</a:t>
                </a:r>
                <a:r>
                  <a:rPr lang="en-US" baseline="0"/>
                  <a:t>, </a:t>
                </a:r>
                <a:fld id="{1BD763B1-86E1-4B42-A239-6DFE107238B9}"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Loc 48, </a:t>
                </a:r>
                <a:fld id="{0596669F-4560-474D-9AE0-82B1F555B90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51</a:t>
                </a:r>
                <a:r>
                  <a:rPr lang="en-US" baseline="0"/>
                  <a:t>, </a:t>
                </a:r>
                <a:fld id="{E76381DA-D4A0-47E4-B3DE-70F4F3BDB4A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6</a:t>
                </a:r>
                <a:r>
                  <a:rPr lang="en-US" baseline="0"/>
                  <a:t>, </a:t>
                </a:r>
                <a:fld id="{D6EBA607-03A3-4846-A238-62DEE2F7FF1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8</a:t>
                </a:r>
                <a:r>
                  <a:rPr lang="en-US" baseline="0"/>
                  <a:t>, </a:t>
                </a:r>
                <a:fld id="{02AD7650-870F-467D-9658-B5E3270B78A4}"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12</a:t>
                </a:r>
                <a:r>
                  <a:rPr lang="en-US" baseline="0"/>
                  <a:t>, </a:t>
                </a:r>
                <a:fld id="{5D3EE1F7-CBF7-4806-BA3C-FCA4561C71A4}"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13</a:t>
                </a:r>
                <a:r>
                  <a:rPr lang="en-US" baseline="0"/>
                  <a:t>, </a:t>
                </a:r>
                <a:fld id="{3C01D1FB-0579-4523-AD62-4BE59C876F5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15</a:t>
                </a:r>
                <a:r>
                  <a:rPr lang="en-US" baseline="0"/>
                  <a:t>, </a:t>
                </a:r>
                <a:fld id="{AE1EC972-9F10-4855-BCFE-BB15B1922119}"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17</a:t>
                </a:r>
                <a:r>
                  <a:rPr lang="en-US" baseline="0"/>
                  <a:t>, </a:t>
                </a:r>
                <a:fld id="{058FDEB7-B474-4C03-BB26-C54AD8E33D9F}"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18</a:t>
                </a:r>
                <a:r>
                  <a:rPr lang="en-US" baseline="0"/>
                  <a:t>, </a:t>
                </a:r>
                <a:fld id="{B385C5CA-C5A4-4F03-80C7-6139C26137B0}"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21</a:t>
                </a:r>
                <a:r>
                  <a:rPr lang="en-US" baseline="0"/>
                  <a:t>, </a:t>
                </a:r>
                <a:fld id="{F6463A69-008A-446C-BAF1-6FD6E896A17F}"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22</a:t>
                </a:r>
                <a:r>
                  <a:rPr lang="en-US" baseline="0"/>
                  <a:t>, </a:t>
                </a:r>
                <a:fld id="{99C356C3-C7A9-4AED-BADB-1D84C7D08E2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24</a:t>
                </a:r>
                <a:r>
                  <a:rPr lang="en-US" baseline="0"/>
                  <a:t>, </a:t>
                </a:r>
                <a:fld id="{7CAC669C-6E4E-4B44-9258-F444B81FCCC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27</a:t>
                </a:r>
                <a:r>
                  <a:rPr lang="en-US" baseline="0"/>
                  <a:t>, </a:t>
                </a:r>
                <a:fld id="{2FE21545-AD8D-4FF1-9D73-BE272E77EE4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32</a:t>
                </a:r>
                <a:r>
                  <a:rPr lang="en-US" baseline="0"/>
                  <a:t>, </a:t>
                </a:r>
                <a:fld id="{D62F59DF-F066-488A-A44F-40005AF09BD8}"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34</a:t>
                </a:r>
                <a:r>
                  <a:rPr lang="en-US" baseline="0"/>
                  <a:t>, </a:t>
                </a:r>
                <a:fld id="{1BF3F505-499F-4C73-8EBE-C0E6206EF5C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35</a:t>
                </a:r>
                <a:r>
                  <a:rPr lang="en-US" baseline="0"/>
                  <a:t>, </a:t>
                </a:r>
                <a:fld id="{D7D7BDC9-AEDD-4692-A57D-A2E9AA2D8EF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36</a:t>
                </a:r>
                <a:r>
                  <a:rPr lang="en-US" baseline="0"/>
                  <a:t>, </a:t>
                </a:r>
                <a:fld id="{9392B9AA-9F67-4538-9FFC-6D721C1C68D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39</a:t>
                </a:r>
                <a:r>
                  <a:rPr lang="en-US" baseline="0"/>
                  <a:t>, </a:t>
                </a:r>
                <a:fld id="{A03E181A-FF98-4D67-BDB1-91FFE7DB6A1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42</a:t>
                </a:r>
                <a:r>
                  <a:rPr lang="en-US" baseline="0"/>
                  <a:t>, </a:t>
                </a:r>
                <a:fld id="{E4336F38-A4BA-478E-998F-9FC7D1C87061}"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45</a:t>
                </a:r>
                <a:r>
                  <a:rPr lang="en-US" baseline="0"/>
                  <a:t>, </a:t>
                </a:r>
                <a:fld id="{1BD763B1-86E1-4B42-A239-6DFE107238B9}"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Loc 48, </a:t>
                </a:r>
                <a:fld id="{0596669F-4560-474D-9AE0-82B1F555B90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51</a:t>
                </a:r>
                <a:r>
                  <a:rPr lang="en-US" baseline="0"/>
                  <a:t>, </a:t>
                </a:r>
                <a:fld id="{E76381DA-D4A0-47E4-B3DE-70F4F3BDB4A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s>
    <c:plotArea>
      <c:layout/>
      <c:pieChart>
        <c:varyColors val="1"/>
        <c:ser>
          <c:idx val="0"/>
          <c:order val="0"/>
          <c:tx>
            <c:strRef>
              <c:f>'Pivot table'!$B$12</c:f>
              <c:strCache>
                <c:ptCount val="1"/>
                <c:pt idx="0">
                  <c:v>Total</c:v>
                </c:pt>
              </c:strCache>
            </c:strRef>
          </c:tx>
          <c:explosion val="19"/>
          <c:dPt>
            <c:idx val="0"/>
            <c:bubble3D val="0"/>
            <c:spPr>
              <a:solidFill>
                <a:schemeClr val="accent1"/>
              </a:solidFill>
              <a:ln>
                <a:noFill/>
              </a:ln>
              <a:effectLst/>
            </c:spPr>
            <c:extLst>
              <c:ext xmlns:c16="http://schemas.microsoft.com/office/drawing/2014/chart" uri="{C3380CC4-5D6E-409C-BE32-E72D297353CC}">
                <c16:uniqueId val="{00000001-204D-4B79-9D88-8A34CCBFBB5E}"/>
              </c:ext>
            </c:extLst>
          </c:dPt>
          <c:dPt>
            <c:idx val="1"/>
            <c:bubble3D val="0"/>
            <c:spPr>
              <a:solidFill>
                <a:schemeClr val="accent2"/>
              </a:solidFill>
              <a:ln>
                <a:noFill/>
              </a:ln>
              <a:effectLst/>
            </c:spPr>
            <c:extLst>
              <c:ext xmlns:c16="http://schemas.microsoft.com/office/drawing/2014/chart" uri="{C3380CC4-5D6E-409C-BE32-E72D297353CC}">
                <c16:uniqueId val="{00000003-204D-4B79-9D88-8A34CCBFBB5E}"/>
              </c:ext>
            </c:extLst>
          </c:dPt>
          <c:dPt>
            <c:idx val="2"/>
            <c:bubble3D val="0"/>
            <c:spPr>
              <a:solidFill>
                <a:schemeClr val="accent3"/>
              </a:solidFill>
              <a:ln>
                <a:noFill/>
              </a:ln>
              <a:effectLst/>
            </c:spPr>
            <c:extLst>
              <c:ext xmlns:c16="http://schemas.microsoft.com/office/drawing/2014/chart" uri="{C3380CC4-5D6E-409C-BE32-E72D297353CC}">
                <c16:uniqueId val="{00000005-204D-4B79-9D88-8A34CCBFBB5E}"/>
              </c:ext>
            </c:extLst>
          </c:dPt>
          <c:dPt>
            <c:idx val="3"/>
            <c:bubble3D val="0"/>
            <c:spPr>
              <a:solidFill>
                <a:schemeClr val="accent4"/>
              </a:solidFill>
              <a:ln>
                <a:noFill/>
              </a:ln>
              <a:effectLst/>
            </c:spPr>
            <c:extLst>
              <c:ext xmlns:c16="http://schemas.microsoft.com/office/drawing/2014/chart" uri="{C3380CC4-5D6E-409C-BE32-E72D297353CC}">
                <c16:uniqueId val="{00000007-204D-4B79-9D88-8A34CCBFBB5E}"/>
              </c:ext>
            </c:extLst>
          </c:dPt>
          <c:dPt>
            <c:idx val="4"/>
            <c:bubble3D val="0"/>
            <c:spPr>
              <a:solidFill>
                <a:schemeClr val="accent5"/>
              </a:solidFill>
              <a:ln>
                <a:noFill/>
              </a:ln>
              <a:effectLst/>
            </c:spPr>
            <c:extLst>
              <c:ext xmlns:c16="http://schemas.microsoft.com/office/drawing/2014/chart" uri="{C3380CC4-5D6E-409C-BE32-E72D297353CC}">
                <c16:uniqueId val="{00000009-204D-4B79-9D88-8A34CCBFBB5E}"/>
              </c:ext>
            </c:extLst>
          </c:dPt>
          <c:dPt>
            <c:idx val="5"/>
            <c:bubble3D val="0"/>
            <c:spPr>
              <a:solidFill>
                <a:schemeClr val="accent6"/>
              </a:solidFill>
              <a:ln>
                <a:noFill/>
              </a:ln>
              <a:effectLst/>
            </c:spPr>
            <c:extLst>
              <c:ext xmlns:c16="http://schemas.microsoft.com/office/drawing/2014/chart" uri="{C3380CC4-5D6E-409C-BE32-E72D297353CC}">
                <c16:uniqueId val="{0000000B-204D-4B79-9D88-8A34CCBFBB5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04D-4B79-9D88-8A34CCBFBB5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04D-4B79-9D88-8A34CCBFBB5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04D-4B79-9D88-8A34CCBFBB5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04D-4B79-9D88-8A34CCBFBB5E}"/>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204D-4B79-9D88-8A34CCBFBB5E}"/>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204D-4B79-9D88-8A34CCBFBB5E}"/>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204D-4B79-9D88-8A34CCBFBB5E}"/>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204D-4B79-9D88-8A34CCBFBB5E}"/>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204D-4B79-9D88-8A34CCBFBB5E}"/>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204D-4B79-9D88-8A34CCBFBB5E}"/>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204D-4B79-9D88-8A34CCBFBB5E}"/>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204D-4B79-9D88-8A34CCBFBB5E}"/>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204D-4B79-9D88-8A34CCBFBB5E}"/>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204D-4B79-9D88-8A34CCBFBB5E}"/>
              </c:ext>
            </c:extLst>
          </c:dPt>
          <c:dLbls>
            <c:dLbl>
              <c:idx val="0"/>
              <c:tx>
                <c:rich>
                  <a:bodyPr/>
                  <a:lstStyle/>
                  <a:p>
                    <a:r>
                      <a:rPr lang="en-US" sz="800" b="0" i="0" u="none" strike="noStrike" kern="1200" baseline="0">
                        <a:solidFill>
                          <a:sysClr val="windowText" lastClr="000000">
                            <a:lumMod val="75000"/>
                            <a:lumOff val="25000"/>
                          </a:sysClr>
                        </a:solidFill>
                      </a:rPr>
                      <a:t>Loc 6</a:t>
                    </a:r>
                    <a:r>
                      <a:rPr lang="en-US" baseline="0"/>
                      <a:t>, </a:t>
                    </a:r>
                    <a:fld id="{D6EBA607-03A3-4846-A238-62DEE2F7FF13}"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04D-4B79-9D88-8A34CCBFBB5E}"/>
                </c:ext>
              </c:extLst>
            </c:dLbl>
            <c:dLbl>
              <c:idx val="1"/>
              <c:tx>
                <c:rich>
                  <a:bodyPr/>
                  <a:lstStyle/>
                  <a:p>
                    <a:r>
                      <a:rPr lang="en-US" sz="800" b="0" i="0" u="none" strike="noStrike" kern="1200" baseline="0">
                        <a:solidFill>
                          <a:sysClr val="windowText" lastClr="000000">
                            <a:lumMod val="75000"/>
                            <a:lumOff val="25000"/>
                          </a:sysClr>
                        </a:solidFill>
                      </a:rPr>
                      <a:t>Loc 8</a:t>
                    </a:r>
                    <a:r>
                      <a:rPr lang="en-US" baseline="0"/>
                      <a:t>, </a:t>
                    </a:r>
                    <a:fld id="{02AD7650-870F-467D-9658-B5E3270B78A4}"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04D-4B79-9D88-8A34CCBFBB5E}"/>
                </c:ext>
              </c:extLst>
            </c:dLbl>
            <c:dLbl>
              <c:idx val="2"/>
              <c:tx>
                <c:rich>
                  <a:bodyPr/>
                  <a:lstStyle/>
                  <a:p>
                    <a:r>
                      <a:rPr lang="en-US" sz="800" b="0" i="0" u="none" strike="noStrike" kern="1200" baseline="0">
                        <a:solidFill>
                          <a:sysClr val="windowText" lastClr="000000">
                            <a:lumMod val="75000"/>
                            <a:lumOff val="25000"/>
                          </a:sysClr>
                        </a:solidFill>
                      </a:rPr>
                      <a:t>Loc 12</a:t>
                    </a:r>
                    <a:r>
                      <a:rPr lang="en-US" baseline="0"/>
                      <a:t>, </a:t>
                    </a:r>
                    <a:fld id="{5D3EE1F7-CBF7-4806-BA3C-FCA4561C71A4}"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04D-4B79-9D88-8A34CCBFBB5E}"/>
                </c:ext>
              </c:extLst>
            </c:dLbl>
            <c:dLbl>
              <c:idx val="3"/>
              <c:tx>
                <c:rich>
                  <a:bodyPr/>
                  <a:lstStyle/>
                  <a:p>
                    <a:r>
                      <a:rPr lang="en-US" sz="800" b="0" i="0" u="none" strike="noStrike" kern="1200" baseline="0">
                        <a:solidFill>
                          <a:sysClr val="windowText" lastClr="000000">
                            <a:lumMod val="75000"/>
                            <a:lumOff val="25000"/>
                          </a:sysClr>
                        </a:solidFill>
                      </a:rPr>
                      <a:t>Loc 13</a:t>
                    </a:r>
                    <a:r>
                      <a:rPr lang="en-US" baseline="0"/>
                      <a:t>, </a:t>
                    </a:r>
                    <a:fld id="{3C01D1FB-0579-4523-AD62-4BE59C876F5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04D-4B79-9D88-8A34CCBFBB5E}"/>
                </c:ext>
              </c:extLst>
            </c:dLbl>
            <c:dLbl>
              <c:idx val="4"/>
              <c:tx>
                <c:rich>
                  <a:bodyPr/>
                  <a:lstStyle/>
                  <a:p>
                    <a:r>
                      <a:rPr lang="en-US" sz="800" b="0" i="0" u="none" strike="noStrike" kern="1200" baseline="0">
                        <a:solidFill>
                          <a:sysClr val="windowText" lastClr="000000">
                            <a:lumMod val="75000"/>
                            <a:lumOff val="25000"/>
                          </a:sysClr>
                        </a:solidFill>
                      </a:rPr>
                      <a:t>Loc 15</a:t>
                    </a:r>
                    <a:r>
                      <a:rPr lang="en-US" baseline="0"/>
                      <a:t>, </a:t>
                    </a:r>
                    <a:fld id="{AE1EC972-9F10-4855-BCFE-BB15B1922119}"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204D-4B79-9D88-8A34CCBFBB5E}"/>
                </c:ext>
              </c:extLst>
            </c:dLbl>
            <c:dLbl>
              <c:idx val="5"/>
              <c:tx>
                <c:rich>
                  <a:bodyPr/>
                  <a:lstStyle/>
                  <a:p>
                    <a:r>
                      <a:rPr lang="en-US" sz="800" b="0" i="0" u="none" strike="noStrike" kern="1200" baseline="0">
                        <a:solidFill>
                          <a:sysClr val="windowText" lastClr="000000">
                            <a:lumMod val="75000"/>
                            <a:lumOff val="25000"/>
                          </a:sysClr>
                        </a:solidFill>
                      </a:rPr>
                      <a:t>Loc 17</a:t>
                    </a:r>
                    <a:r>
                      <a:rPr lang="en-US" baseline="0"/>
                      <a:t>, </a:t>
                    </a:r>
                    <a:fld id="{058FDEB7-B474-4C03-BB26-C54AD8E33D9F}"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204D-4B79-9D88-8A34CCBFBB5E}"/>
                </c:ext>
              </c:extLst>
            </c:dLbl>
            <c:dLbl>
              <c:idx val="6"/>
              <c:tx>
                <c:rich>
                  <a:bodyPr/>
                  <a:lstStyle/>
                  <a:p>
                    <a:r>
                      <a:rPr lang="en-US" sz="800" b="0" i="0" u="none" strike="noStrike" kern="1200" baseline="0">
                        <a:solidFill>
                          <a:sysClr val="windowText" lastClr="000000">
                            <a:lumMod val="75000"/>
                            <a:lumOff val="25000"/>
                          </a:sysClr>
                        </a:solidFill>
                      </a:rPr>
                      <a:t>Loc 18</a:t>
                    </a:r>
                    <a:r>
                      <a:rPr lang="en-US" baseline="0"/>
                      <a:t>, </a:t>
                    </a:r>
                    <a:fld id="{B385C5CA-C5A4-4F03-80C7-6139C26137B0}"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204D-4B79-9D88-8A34CCBFBB5E}"/>
                </c:ext>
              </c:extLst>
            </c:dLbl>
            <c:dLbl>
              <c:idx val="7"/>
              <c:tx>
                <c:rich>
                  <a:bodyPr/>
                  <a:lstStyle/>
                  <a:p>
                    <a:r>
                      <a:rPr lang="en-US" sz="800" b="0" i="0" u="none" strike="noStrike" kern="1200" baseline="0">
                        <a:solidFill>
                          <a:sysClr val="windowText" lastClr="000000">
                            <a:lumMod val="75000"/>
                            <a:lumOff val="25000"/>
                          </a:sysClr>
                        </a:solidFill>
                      </a:rPr>
                      <a:t>Loc 21</a:t>
                    </a:r>
                    <a:r>
                      <a:rPr lang="en-US" baseline="0"/>
                      <a:t>, </a:t>
                    </a:r>
                    <a:fld id="{F6463A69-008A-446C-BAF1-6FD6E896A17F}"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204D-4B79-9D88-8A34CCBFBB5E}"/>
                </c:ext>
              </c:extLst>
            </c:dLbl>
            <c:dLbl>
              <c:idx val="8"/>
              <c:tx>
                <c:rich>
                  <a:bodyPr/>
                  <a:lstStyle/>
                  <a:p>
                    <a:r>
                      <a:rPr lang="en-US" sz="800" b="0" i="0" u="none" strike="noStrike" kern="1200" baseline="0">
                        <a:solidFill>
                          <a:sysClr val="windowText" lastClr="000000">
                            <a:lumMod val="75000"/>
                            <a:lumOff val="25000"/>
                          </a:sysClr>
                        </a:solidFill>
                      </a:rPr>
                      <a:t>Loc 22</a:t>
                    </a:r>
                    <a:r>
                      <a:rPr lang="en-US" baseline="0"/>
                      <a:t>, </a:t>
                    </a:r>
                    <a:fld id="{99C356C3-C7A9-4AED-BADB-1D84C7D08E2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204D-4B79-9D88-8A34CCBFBB5E}"/>
                </c:ext>
              </c:extLst>
            </c:dLbl>
            <c:dLbl>
              <c:idx val="9"/>
              <c:tx>
                <c:rich>
                  <a:bodyPr/>
                  <a:lstStyle/>
                  <a:p>
                    <a:r>
                      <a:rPr lang="en-US" sz="800" b="0" i="0" u="none" strike="noStrike" kern="1200" baseline="0">
                        <a:solidFill>
                          <a:sysClr val="windowText" lastClr="000000">
                            <a:lumMod val="75000"/>
                            <a:lumOff val="25000"/>
                          </a:sysClr>
                        </a:solidFill>
                      </a:rPr>
                      <a:t>Loc 24</a:t>
                    </a:r>
                    <a:r>
                      <a:rPr lang="en-US" baseline="0"/>
                      <a:t>, </a:t>
                    </a:r>
                    <a:fld id="{7CAC669C-6E4E-4B44-9258-F444B81FCCC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204D-4B79-9D88-8A34CCBFBB5E}"/>
                </c:ext>
              </c:extLst>
            </c:dLbl>
            <c:dLbl>
              <c:idx val="10"/>
              <c:tx>
                <c:rich>
                  <a:bodyPr/>
                  <a:lstStyle/>
                  <a:p>
                    <a:r>
                      <a:rPr lang="en-US" sz="800" b="0" i="0" u="none" strike="noStrike" kern="1200" baseline="0">
                        <a:solidFill>
                          <a:sysClr val="windowText" lastClr="000000">
                            <a:lumMod val="75000"/>
                            <a:lumOff val="25000"/>
                          </a:sysClr>
                        </a:solidFill>
                      </a:rPr>
                      <a:t>Loc 27</a:t>
                    </a:r>
                    <a:r>
                      <a:rPr lang="en-US" baseline="0"/>
                      <a:t>, </a:t>
                    </a:r>
                    <a:fld id="{2FE21545-AD8D-4FF1-9D73-BE272E77EE47}"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204D-4B79-9D88-8A34CCBFBB5E}"/>
                </c:ext>
              </c:extLst>
            </c:dLbl>
            <c:dLbl>
              <c:idx val="11"/>
              <c:tx>
                <c:rich>
                  <a:bodyPr/>
                  <a:lstStyle/>
                  <a:p>
                    <a:r>
                      <a:rPr lang="en-US" sz="800" b="0" i="0" u="none" strike="noStrike" kern="1200" baseline="0">
                        <a:solidFill>
                          <a:sysClr val="windowText" lastClr="000000">
                            <a:lumMod val="75000"/>
                            <a:lumOff val="25000"/>
                          </a:sysClr>
                        </a:solidFill>
                      </a:rPr>
                      <a:t>Loc 32</a:t>
                    </a:r>
                    <a:r>
                      <a:rPr lang="en-US" baseline="0"/>
                      <a:t>, </a:t>
                    </a:r>
                    <a:fld id="{D62F59DF-F066-488A-A44F-40005AF09BD8}"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7-204D-4B79-9D88-8A34CCBFBB5E}"/>
                </c:ext>
              </c:extLst>
            </c:dLbl>
            <c:dLbl>
              <c:idx val="12"/>
              <c:tx>
                <c:rich>
                  <a:bodyPr/>
                  <a:lstStyle/>
                  <a:p>
                    <a:r>
                      <a:rPr lang="en-US" sz="800" b="0" i="0" u="none" strike="noStrike" kern="1200" baseline="0">
                        <a:solidFill>
                          <a:sysClr val="windowText" lastClr="000000">
                            <a:lumMod val="75000"/>
                            <a:lumOff val="25000"/>
                          </a:sysClr>
                        </a:solidFill>
                      </a:rPr>
                      <a:t>Loc 34</a:t>
                    </a:r>
                    <a:r>
                      <a:rPr lang="en-US" baseline="0"/>
                      <a:t>, </a:t>
                    </a:r>
                    <a:fld id="{1BF3F505-499F-4C73-8EBE-C0E6206EF5C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204D-4B79-9D88-8A34CCBFBB5E}"/>
                </c:ext>
              </c:extLst>
            </c:dLbl>
            <c:dLbl>
              <c:idx val="13"/>
              <c:tx>
                <c:rich>
                  <a:bodyPr/>
                  <a:lstStyle/>
                  <a:p>
                    <a:r>
                      <a:rPr lang="en-US" sz="800" b="0" i="0" u="none" strike="noStrike" kern="1200" baseline="0">
                        <a:solidFill>
                          <a:sysClr val="windowText" lastClr="000000">
                            <a:lumMod val="75000"/>
                            <a:lumOff val="25000"/>
                          </a:sysClr>
                        </a:solidFill>
                      </a:rPr>
                      <a:t>Loc 35</a:t>
                    </a:r>
                    <a:r>
                      <a:rPr lang="en-US" baseline="0"/>
                      <a:t>, </a:t>
                    </a:r>
                    <a:fld id="{D7D7BDC9-AEDD-4692-A57D-A2E9AA2D8EF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B-204D-4B79-9D88-8A34CCBFBB5E}"/>
                </c:ext>
              </c:extLst>
            </c:dLbl>
            <c:dLbl>
              <c:idx val="14"/>
              <c:tx>
                <c:rich>
                  <a:bodyPr/>
                  <a:lstStyle/>
                  <a:p>
                    <a:r>
                      <a:rPr lang="en-US" sz="800" b="0" i="0" u="none" strike="noStrike" kern="1200" baseline="0">
                        <a:solidFill>
                          <a:sysClr val="windowText" lastClr="000000">
                            <a:lumMod val="75000"/>
                            <a:lumOff val="25000"/>
                          </a:sysClr>
                        </a:solidFill>
                      </a:rPr>
                      <a:t>Loc 36</a:t>
                    </a:r>
                    <a:r>
                      <a:rPr lang="en-US" baseline="0"/>
                      <a:t>, </a:t>
                    </a:r>
                    <a:fld id="{9392B9AA-9F67-4538-9FFC-6D721C1C68D3}"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D-204D-4B79-9D88-8A34CCBFBB5E}"/>
                </c:ext>
              </c:extLst>
            </c:dLbl>
            <c:dLbl>
              <c:idx val="15"/>
              <c:tx>
                <c:rich>
                  <a:bodyPr/>
                  <a:lstStyle/>
                  <a:p>
                    <a:r>
                      <a:rPr lang="en-US" sz="800" b="0" i="0" u="none" strike="noStrike" kern="1200" baseline="0">
                        <a:solidFill>
                          <a:sysClr val="windowText" lastClr="000000">
                            <a:lumMod val="75000"/>
                            <a:lumOff val="25000"/>
                          </a:sysClr>
                        </a:solidFill>
                      </a:rPr>
                      <a:t>Loc 39</a:t>
                    </a:r>
                    <a:r>
                      <a:rPr lang="en-US" baseline="0"/>
                      <a:t>, </a:t>
                    </a:r>
                    <a:fld id="{A03E181A-FF98-4D67-BDB1-91FFE7DB6A1B}"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F-204D-4B79-9D88-8A34CCBFBB5E}"/>
                </c:ext>
              </c:extLst>
            </c:dLbl>
            <c:dLbl>
              <c:idx val="16"/>
              <c:tx>
                <c:rich>
                  <a:bodyPr/>
                  <a:lstStyle/>
                  <a:p>
                    <a:r>
                      <a:rPr lang="en-US" sz="800" b="0" i="0" u="none" strike="noStrike" kern="1200" baseline="0">
                        <a:solidFill>
                          <a:sysClr val="windowText" lastClr="000000">
                            <a:lumMod val="75000"/>
                            <a:lumOff val="25000"/>
                          </a:sysClr>
                        </a:solidFill>
                      </a:rPr>
                      <a:t>Loc 42</a:t>
                    </a:r>
                    <a:r>
                      <a:rPr lang="en-US" baseline="0"/>
                      <a:t>, </a:t>
                    </a:r>
                    <a:fld id="{E4336F38-A4BA-478E-998F-9FC7D1C87061}"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1-204D-4B79-9D88-8A34CCBFBB5E}"/>
                </c:ext>
              </c:extLst>
            </c:dLbl>
            <c:dLbl>
              <c:idx val="17"/>
              <c:tx>
                <c:rich>
                  <a:bodyPr/>
                  <a:lstStyle/>
                  <a:p>
                    <a:r>
                      <a:rPr lang="en-US" sz="800" b="0" i="0" u="none" strike="noStrike" kern="1200" baseline="0">
                        <a:solidFill>
                          <a:sysClr val="windowText" lastClr="000000">
                            <a:lumMod val="75000"/>
                            <a:lumOff val="25000"/>
                          </a:sysClr>
                        </a:solidFill>
                      </a:rPr>
                      <a:t>Loc 45</a:t>
                    </a:r>
                    <a:r>
                      <a:rPr lang="en-US" baseline="0"/>
                      <a:t>, </a:t>
                    </a:r>
                    <a:fld id="{1BD763B1-86E1-4B42-A239-6DFE107238B9}"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3-204D-4B79-9D88-8A34CCBFBB5E}"/>
                </c:ext>
              </c:extLst>
            </c:dLbl>
            <c:dLbl>
              <c:idx val="18"/>
              <c:tx>
                <c:rich>
                  <a:bodyPr/>
                  <a:lstStyle/>
                  <a:p>
                    <a:r>
                      <a:rPr lang="en-US" baseline="0"/>
                      <a:t>Loc 48, </a:t>
                    </a:r>
                    <a:fld id="{0596669F-4560-474D-9AE0-82B1F555B90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5-204D-4B79-9D88-8A34CCBFBB5E}"/>
                </c:ext>
              </c:extLst>
            </c:dLbl>
            <c:dLbl>
              <c:idx val="19"/>
              <c:tx>
                <c:rich>
                  <a:bodyPr/>
                  <a:lstStyle/>
                  <a:p>
                    <a:r>
                      <a:rPr lang="en-US" sz="800" b="0" i="0" u="none" strike="noStrike" kern="1200" baseline="0">
                        <a:solidFill>
                          <a:sysClr val="windowText" lastClr="000000">
                            <a:lumMod val="75000"/>
                            <a:lumOff val="25000"/>
                          </a:sysClr>
                        </a:solidFill>
                      </a:rPr>
                      <a:t>Loc 51</a:t>
                    </a:r>
                    <a:r>
                      <a:rPr lang="en-US" baseline="0"/>
                      <a:t>, </a:t>
                    </a:r>
                    <a:fld id="{E76381DA-D4A0-47E4-B3DE-70F4F3BDB4A3}"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7-204D-4B79-9D88-8A34CCBFB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table'!$A$13:$A$34</c:f>
              <c:multiLvlStrCache>
                <c:ptCount val="20"/>
                <c:lvl>
                  <c:pt idx="0">
                    <c:v>6</c:v>
                  </c:pt>
                  <c:pt idx="1">
                    <c:v>8</c:v>
                  </c:pt>
                  <c:pt idx="2">
                    <c:v>12</c:v>
                  </c:pt>
                  <c:pt idx="3">
                    <c:v>13</c:v>
                  </c:pt>
                  <c:pt idx="4">
                    <c:v>15</c:v>
                  </c:pt>
                  <c:pt idx="5">
                    <c:v>17</c:v>
                  </c:pt>
                  <c:pt idx="6">
                    <c:v>18</c:v>
                  </c:pt>
                  <c:pt idx="7">
                    <c:v>21</c:v>
                  </c:pt>
                  <c:pt idx="8">
                    <c:v>22</c:v>
                  </c:pt>
                  <c:pt idx="9">
                    <c:v>24</c:v>
                  </c:pt>
                  <c:pt idx="10">
                    <c:v>27</c:v>
                  </c:pt>
                  <c:pt idx="11">
                    <c:v>32</c:v>
                  </c:pt>
                  <c:pt idx="12">
                    <c:v>34</c:v>
                  </c:pt>
                  <c:pt idx="13">
                    <c:v>35</c:v>
                  </c:pt>
                  <c:pt idx="14">
                    <c:v>36</c:v>
                  </c:pt>
                  <c:pt idx="15">
                    <c:v>39</c:v>
                  </c:pt>
                  <c:pt idx="16">
                    <c:v>42</c:v>
                  </c:pt>
                  <c:pt idx="17">
                    <c:v>45</c:v>
                  </c:pt>
                  <c:pt idx="18">
                    <c:v>48</c:v>
                  </c:pt>
                  <c:pt idx="19">
                    <c:v>51</c:v>
                  </c:pt>
                </c:lvl>
                <c:lvl>
                  <c:pt idx="0">
                    <c:v>More than 50</c:v>
                  </c:pt>
                </c:lvl>
              </c:multiLvlStrCache>
            </c:multiLvlStrRef>
          </c:cat>
          <c:val>
            <c:numRef>
              <c:f>'Pivot table'!$B$13:$B$34</c:f>
              <c:numCache>
                <c:formatCode>General</c:formatCode>
                <c:ptCount val="20"/>
                <c:pt idx="0">
                  <c:v>45</c:v>
                </c:pt>
                <c:pt idx="1">
                  <c:v>2</c:v>
                </c:pt>
                <c:pt idx="2">
                  <c:v>4</c:v>
                </c:pt>
                <c:pt idx="3">
                  <c:v>2</c:v>
                </c:pt>
                <c:pt idx="4">
                  <c:v>1</c:v>
                </c:pt>
                <c:pt idx="5">
                  <c:v>1</c:v>
                </c:pt>
                <c:pt idx="6">
                  <c:v>1</c:v>
                </c:pt>
                <c:pt idx="7">
                  <c:v>1</c:v>
                </c:pt>
                <c:pt idx="8">
                  <c:v>1</c:v>
                </c:pt>
                <c:pt idx="9">
                  <c:v>5</c:v>
                </c:pt>
                <c:pt idx="10">
                  <c:v>1</c:v>
                </c:pt>
                <c:pt idx="11">
                  <c:v>4</c:v>
                </c:pt>
                <c:pt idx="12">
                  <c:v>3</c:v>
                </c:pt>
                <c:pt idx="13">
                  <c:v>1</c:v>
                </c:pt>
                <c:pt idx="14">
                  <c:v>2</c:v>
                </c:pt>
                <c:pt idx="15">
                  <c:v>1</c:v>
                </c:pt>
                <c:pt idx="16">
                  <c:v>1</c:v>
                </c:pt>
                <c:pt idx="17">
                  <c:v>1</c:v>
                </c:pt>
                <c:pt idx="18">
                  <c:v>6</c:v>
                </c:pt>
                <c:pt idx="19">
                  <c:v>2</c:v>
                </c:pt>
              </c:numCache>
            </c:numRef>
          </c:val>
          <c:extLst>
            <c:ext xmlns:c16="http://schemas.microsoft.com/office/drawing/2014/chart" uri="{C3380CC4-5D6E-409C-BE32-E72D297353CC}">
              <c16:uniqueId val="{00000028-204D-4B79-9D88-8A34CCBFBB5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mortagage Analysis Excel.xlsx]Pivot table!PivotTable6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Silver Pool Eligibility (LTV ≤80%, 180-Month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IN" sz="1400" b="0" i="0" u="none" strike="noStrike" kern="1200" spc="0" baseline="0">
                <a:solidFill>
                  <a:sysClr val="windowText" lastClr="000000">
                    <a:lumMod val="65000"/>
                    <a:lumOff val="35000"/>
                  </a:sysClr>
                </a:solidFill>
              </a:rPr>
              <a:t>Term)</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pivotFmt>
      <c:pivotFmt>
        <c:idx val="4"/>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rgbClr val="92D050"/>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7307-43F4-9456-04F9EE57F85E}"/>
              </c:ext>
            </c:extLst>
          </c:dPt>
          <c:dPt>
            <c:idx val="1"/>
            <c:invertIfNegative val="0"/>
            <c:bubble3D val="0"/>
            <c:extLst>
              <c:ext xmlns:c16="http://schemas.microsoft.com/office/drawing/2014/chart" uri="{C3380CC4-5D6E-409C-BE32-E72D297353CC}">
                <c16:uniqueId val="{00000002-7307-43F4-9456-04F9EE57F8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table'!$E$4:$E$6</c:f>
              <c:strCache>
                <c:ptCount val="2"/>
                <c:pt idx="0">
                  <c:v>not selected</c:v>
                </c:pt>
                <c:pt idx="1">
                  <c:v>selected</c:v>
                </c:pt>
              </c:strCache>
            </c:strRef>
          </c:cat>
          <c:val>
            <c:numRef>
              <c:f>'Pivot table'!$F$4:$F$6</c:f>
              <c:numCache>
                <c:formatCode>General</c:formatCode>
                <c:ptCount val="2"/>
                <c:pt idx="0">
                  <c:v>424</c:v>
                </c:pt>
                <c:pt idx="1">
                  <c:v>76</c:v>
                </c:pt>
              </c:numCache>
            </c:numRef>
          </c:val>
          <c:extLst>
            <c:ext xmlns:c16="http://schemas.microsoft.com/office/drawing/2014/chart" uri="{C3380CC4-5D6E-409C-BE32-E72D297353CC}">
              <c16:uniqueId val="{00000000-7307-43F4-9456-04F9EE57F85E}"/>
            </c:ext>
          </c:extLst>
        </c:ser>
        <c:dLbls>
          <c:showLegendKey val="0"/>
          <c:showVal val="0"/>
          <c:showCatName val="0"/>
          <c:showSerName val="0"/>
          <c:showPercent val="0"/>
          <c:showBubbleSize val="0"/>
        </c:dLbls>
        <c:gapWidth val="182"/>
        <c:axId val="520554735"/>
        <c:axId val="530143215"/>
      </c:barChart>
      <c:catAx>
        <c:axId val="520554735"/>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Pool Status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43215"/>
        <c:crosses val="autoZero"/>
        <c:auto val="1"/>
        <c:lblAlgn val="ctr"/>
        <c:lblOffset val="100"/>
        <c:noMultiLvlLbl val="0"/>
      </c:catAx>
      <c:valAx>
        <c:axId val="5301432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No. of borrowers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42361449780498817"/>
              <c:y val="0.8879721855729647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55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mortagage Analysis Excel.xlsx]Pivot table!PivotTable7</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Golden Pool Eligibility (LTV ≤80%, Income ≥222400-Top 10% by income)</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pivotFmt>
    </c:pivotFmts>
    <c:plotArea>
      <c:layout/>
      <c:barChart>
        <c:barDir val="bar"/>
        <c:grouping val="clustered"/>
        <c:varyColors val="0"/>
        <c:ser>
          <c:idx val="0"/>
          <c:order val="0"/>
          <c:tx>
            <c:strRef>
              <c:f>'Pivot table'!$F$9</c:f>
              <c:strCache>
                <c:ptCount val="1"/>
                <c:pt idx="0">
                  <c:v>Total</c:v>
                </c:pt>
              </c:strCache>
            </c:strRef>
          </c:tx>
          <c:spPr>
            <a:solidFill>
              <a:srgbClr val="92D050"/>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E17A-4B59-AEEF-2965CF298B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table'!$E$10:$E$12</c:f>
              <c:strCache>
                <c:ptCount val="2"/>
                <c:pt idx="0">
                  <c:v>not selected</c:v>
                </c:pt>
                <c:pt idx="1">
                  <c:v>selected</c:v>
                </c:pt>
              </c:strCache>
            </c:strRef>
          </c:cat>
          <c:val>
            <c:numRef>
              <c:f>'Pivot table'!$F$10:$F$12</c:f>
              <c:numCache>
                <c:formatCode>General</c:formatCode>
                <c:ptCount val="2"/>
                <c:pt idx="0">
                  <c:v>459</c:v>
                </c:pt>
                <c:pt idx="1">
                  <c:v>41</c:v>
                </c:pt>
              </c:numCache>
            </c:numRef>
          </c:val>
          <c:extLst>
            <c:ext xmlns:c16="http://schemas.microsoft.com/office/drawing/2014/chart" uri="{C3380CC4-5D6E-409C-BE32-E72D297353CC}">
              <c16:uniqueId val="{00000000-E17A-4B59-AEEF-2965CF298B91}"/>
            </c:ext>
          </c:extLst>
        </c:ser>
        <c:dLbls>
          <c:dLblPos val="outEnd"/>
          <c:showLegendKey val="0"/>
          <c:showVal val="1"/>
          <c:showCatName val="0"/>
          <c:showSerName val="0"/>
          <c:showPercent val="0"/>
          <c:showBubbleSize val="0"/>
        </c:dLbls>
        <c:gapWidth val="182"/>
        <c:axId val="1152031791"/>
        <c:axId val="530136495"/>
      </c:barChart>
      <c:catAx>
        <c:axId val="1152031791"/>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Pool Status</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36495"/>
        <c:crosses val="autoZero"/>
        <c:auto val="1"/>
        <c:lblAlgn val="ctr"/>
        <c:lblOffset val="100"/>
        <c:noMultiLvlLbl val="0"/>
      </c:catAx>
      <c:valAx>
        <c:axId val="530136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No. of borrowers</a:t>
                </a:r>
              </a:p>
            </c:rich>
          </c:tx>
          <c:layout>
            <c:manualLayout>
              <c:xMode val="edge"/>
              <c:yMode val="edge"/>
              <c:x val="0.42908945756780403"/>
              <c:y val="0.8925692621755614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3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LTV  Residual Plot</a:t>
            </a:r>
          </a:p>
        </c:rich>
      </c:tx>
      <c:overlay val="0"/>
    </c:title>
    <c:autoTitleDeleted val="0"/>
    <c:plotArea>
      <c:layout/>
      <c:scatterChart>
        <c:scatterStyle val="lineMarker"/>
        <c:varyColors val="0"/>
        <c:ser>
          <c:idx val="0"/>
          <c:order val="0"/>
          <c:spPr>
            <a:ln w="19050">
              <a:noFill/>
            </a:ln>
          </c:spPr>
          <c:xVal>
            <c:numRef>
              <c:f>Data!$U$8:$U$507</c:f>
              <c:numCache>
                <c:formatCode>General</c:formatCode>
                <c:ptCount val="500"/>
                <c:pt idx="0">
                  <c:v>50.649350649350602</c:v>
                </c:pt>
                <c:pt idx="1">
                  <c:v>94.392523364485982</c:v>
                </c:pt>
                <c:pt idx="2">
                  <c:v>28.000000000000004</c:v>
                </c:pt>
                <c:pt idx="3">
                  <c:v>51.879699248120303</c:v>
                </c:pt>
                <c:pt idx="4">
                  <c:v>80.246913580246911</c:v>
                </c:pt>
                <c:pt idx="5">
                  <c:v>71.270718232044189</c:v>
                </c:pt>
                <c:pt idx="6">
                  <c:v>83.15789473684211</c:v>
                </c:pt>
                <c:pt idx="7">
                  <c:v>58.490566037735846</c:v>
                </c:pt>
                <c:pt idx="8">
                  <c:v>40.659340659340657</c:v>
                </c:pt>
                <c:pt idx="9">
                  <c:v>66.355140186915889</c:v>
                </c:pt>
                <c:pt idx="10">
                  <c:v>77.215189873417728</c:v>
                </c:pt>
                <c:pt idx="11">
                  <c:v>78.494623655913969</c:v>
                </c:pt>
                <c:pt idx="12">
                  <c:v>50.993377483443716</c:v>
                </c:pt>
                <c:pt idx="13">
                  <c:v>76.146788990825684</c:v>
                </c:pt>
                <c:pt idx="14">
                  <c:v>80.104712041884824</c:v>
                </c:pt>
                <c:pt idx="15">
                  <c:v>45.454545454545453</c:v>
                </c:pt>
                <c:pt idx="16">
                  <c:v>66.400000000000006</c:v>
                </c:pt>
                <c:pt idx="17">
                  <c:v>56.862745098039213</c:v>
                </c:pt>
                <c:pt idx="18">
                  <c:v>79.831932773109244</c:v>
                </c:pt>
                <c:pt idx="19">
                  <c:v>66.88741721854305</c:v>
                </c:pt>
                <c:pt idx="20">
                  <c:v>72.093023255813947</c:v>
                </c:pt>
                <c:pt idx="21">
                  <c:v>77.049180327868854</c:v>
                </c:pt>
                <c:pt idx="22">
                  <c:v>78.761061946902657</c:v>
                </c:pt>
                <c:pt idx="23">
                  <c:v>74.436090225563916</c:v>
                </c:pt>
                <c:pt idx="24">
                  <c:v>78.378378378378372</c:v>
                </c:pt>
                <c:pt idx="25">
                  <c:v>79.66101694915254</c:v>
                </c:pt>
                <c:pt idx="26">
                  <c:v>21.212121212121211</c:v>
                </c:pt>
                <c:pt idx="27">
                  <c:v>92.592592592592595</c:v>
                </c:pt>
                <c:pt idx="28">
                  <c:v>70.491803278688522</c:v>
                </c:pt>
                <c:pt idx="29">
                  <c:v>72.027972027972027</c:v>
                </c:pt>
                <c:pt idx="30">
                  <c:v>90.476190476190482</c:v>
                </c:pt>
                <c:pt idx="31">
                  <c:v>92</c:v>
                </c:pt>
                <c:pt idx="32">
                  <c:v>80.327868852459019</c:v>
                </c:pt>
                <c:pt idx="33">
                  <c:v>60.493827160493829</c:v>
                </c:pt>
                <c:pt idx="34">
                  <c:v>79.130434782608688</c:v>
                </c:pt>
                <c:pt idx="35">
                  <c:v>79.487179487179489</c:v>
                </c:pt>
                <c:pt idx="36">
                  <c:v>77.528089887640448</c:v>
                </c:pt>
                <c:pt idx="37">
                  <c:v>89.473684210526315</c:v>
                </c:pt>
                <c:pt idx="38">
                  <c:v>60.493827160493829</c:v>
                </c:pt>
                <c:pt idx="39">
                  <c:v>70.370370370370367</c:v>
                </c:pt>
                <c:pt idx="40">
                  <c:v>56.521739130434781</c:v>
                </c:pt>
                <c:pt idx="41">
                  <c:v>82.608695652173907</c:v>
                </c:pt>
                <c:pt idx="42">
                  <c:v>79.831932773109244</c:v>
                </c:pt>
                <c:pt idx="43">
                  <c:v>52</c:v>
                </c:pt>
                <c:pt idx="44">
                  <c:v>74.358974358974365</c:v>
                </c:pt>
                <c:pt idx="45">
                  <c:v>73.770491803278688</c:v>
                </c:pt>
                <c:pt idx="46">
                  <c:v>66.315789473684205</c:v>
                </c:pt>
                <c:pt idx="47">
                  <c:v>80.392156862745097</c:v>
                </c:pt>
                <c:pt idx="48">
                  <c:v>57.377049180327866</c:v>
                </c:pt>
                <c:pt idx="49">
                  <c:v>94.029850746268664</c:v>
                </c:pt>
                <c:pt idx="50">
                  <c:v>82.608695652173907</c:v>
                </c:pt>
                <c:pt idx="51">
                  <c:v>91.780821917808225</c:v>
                </c:pt>
                <c:pt idx="52">
                  <c:v>85.91549295774648</c:v>
                </c:pt>
                <c:pt idx="53">
                  <c:v>72.41379310344827</c:v>
                </c:pt>
                <c:pt idx="54">
                  <c:v>55.339805825242713</c:v>
                </c:pt>
                <c:pt idx="55">
                  <c:v>80.219780219780219</c:v>
                </c:pt>
                <c:pt idx="56">
                  <c:v>86.885245901639337</c:v>
                </c:pt>
                <c:pt idx="57">
                  <c:v>53.271028037383175</c:v>
                </c:pt>
                <c:pt idx="58">
                  <c:v>49.333333333333336</c:v>
                </c:pt>
                <c:pt idx="59">
                  <c:v>71.428571428571431</c:v>
                </c:pt>
                <c:pt idx="60">
                  <c:v>74.468085106382972</c:v>
                </c:pt>
                <c:pt idx="61">
                  <c:v>73.134328358208961</c:v>
                </c:pt>
                <c:pt idx="62">
                  <c:v>60.62176165803109</c:v>
                </c:pt>
                <c:pt idx="63">
                  <c:v>64.705882352941174</c:v>
                </c:pt>
                <c:pt idx="64">
                  <c:v>86.666666666666671</c:v>
                </c:pt>
                <c:pt idx="65">
                  <c:v>74.683544303797461</c:v>
                </c:pt>
                <c:pt idx="66">
                  <c:v>71.014492753623188</c:v>
                </c:pt>
                <c:pt idx="67">
                  <c:v>74.803149606299215</c:v>
                </c:pt>
                <c:pt idx="68">
                  <c:v>78.082191780821915</c:v>
                </c:pt>
                <c:pt idx="69">
                  <c:v>63.636363636363633</c:v>
                </c:pt>
                <c:pt idx="70">
                  <c:v>64.071856287425149</c:v>
                </c:pt>
                <c:pt idx="71">
                  <c:v>70.909090909090907</c:v>
                </c:pt>
                <c:pt idx="72">
                  <c:v>57.225433526011557</c:v>
                </c:pt>
                <c:pt idx="73">
                  <c:v>58.865248226950349</c:v>
                </c:pt>
                <c:pt idx="74">
                  <c:v>84.158415841584159</c:v>
                </c:pt>
                <c:pt idx="75">
                  <c:v>72.151898734177209</c:v>
                </c:pt>
                <c:pt idx="76">
                  <c:v>65.269461077844312</c:v>
                </c:pt>
                <c:pt idx="77">
                  <c:v>68.831168831168839</c:v>
                </c:pt>
                <c:pt idx="78">
                  <c:v>50.785340314136128</c:v>
                </c:pt>
                <c:pt idx="79">
                  <c:v>52.112676056338024</c:v>
                </c:pt>
                <c:pt idx="80">
                  <c:v>40.206185567010309</c:v>
                </c:pt>
                <c:pt idx="81">
                  <c:v>78.181818181818187</c:v>
                </c:pt>
                <c:pt idx="82">
                  <c:v>85.454545454545453</c:v>
                </c:pt>
                <c:pt idx="83">
                  <c:v>77.777777777777786</c:v>
                </c:pt>
                <c:pt idx="84">
                  <c:v>50.753768844221106</c:v>
                </c:pt>
                <c:pt idx="85">
                  <c:v>73.134328358208961</c:v>
                </c:pt>
                <c:pt idx="86">
                  <c:v>62.711864406779661</c:v>
                </c:pt>
                <c:pt idx="87">
                  <c:v>81.333333333333329</c:v>
                </c:pt>
                <c:pt idx="88">
                  <c:v>68.421052631578945</c:v>
                </c:pt>
                <c:pt idx="89">
                  <c:v>53.642384105960261</c:v>
                </c:pt>
                <c:pt idx="90">
                  <c:v>88.764044943820224</c:v>
                </c:pt>
                <c:pt idx="91">
                  <c:v>70.114942528735639</c:v>
                </c:pt>
                <c:pt idx="92">
                  <c:v>67.058823529411754</c:v>
                </c:pt>
                <c:pt idx="93">
                  <c:v>88.764044943820224</c:v>
                </c:pt>
                <c:pt idx="94">
                  <c:v>26.760563380281688</c:v>
                </c:pt>
                <c:pt idx="95">
                  <c:v>74.257425742574256</c:v>
                </c:pt>
                <c:pt idx="96">
                  <c:v>92.592592592592595</c:v>
                </c:pt>
                <c:pt idx="97">
                  <c:v>62.711864406779661</c:v>
                </c:pt>
                <c:pt idx="98">
                  <c:v>96.078431372549019</c:v>
                </c:pt>
                <c:pt idx="99">
                  <c:v>61.29032258064516</c:v>
                </c:pt>
                <c:pt idx="100">
                  <c:v>34.42622950819672</c:v>
                </c:pt>
                <c:pt idx="101">
                  <c:v>89.473684210526315</c:v>
                </c:pt>
                <c:pt idx="102">
                  <c:v>44.723618090452263</c:v>
                </c:pt>
                <c:pt idx="103">
                  <c:v>72.277227722772281</c:v>
                </c:pt>
                <c:pt idx="104">
                  <c:v>78.94736842105263</c:v>
                </c:pt>
                <c:pt idx="105">
                  <c:v>78.723404255319153</c:v>
                </c:pt>
                <c:pt idx="106">
                  <c:v>79.66101694915254</c:v>
                </c:pt>
                <c:pt idx="107">
                  <c:v>72.277227722772281</c:v>
                </c:pt>
                <c:pt idx="108">
                  <c:v>80.246913580246911</c:v>
                </c:pt>
                <c:pt idx="109">
                  <c:v>71.084337349397586</c:v>
                </c:pt>
                <c:pt idx="110">
                  <c:v>82.456140350877192</c:v>
                </c:pt>
                <c:pt idx="111">
                  <c:v>82.089552238805979</c:v>
                </c:pt>
                <c:pt idx="112">
                  <c:v>63.934426229508205</c:v>
                </c:pt>
                <c:pt idx="113">
                  <c:v>77.952755905511808</c:v>
                </c:pt>
                <c:pt idx="114">
                  <c:v>34.470989761092156</c:v>
                </c:pt>
                <c:pt idx="115">
                  <c:v>77.215189873417728</c:v>
                </c:pt>
                <c:pt idx="116">
                  <c:v>80.952380952380949</c:v>
                </c:pt>
                <c:pt idx="117">
                  <c:v>70.992366412213741</c:v>
                </c:pt>
                <c:pt idx="118">
                  <c:v>64.444444444444443</c:v>
                </c:pt>
                <c:pt idx="119">
                  <c:v>81.132075471698116</c:v>
                </c:pt>
                <c:pt idx="120">
                  <c:v>77.391304347826079</c:v>
                </c:pt>
                <c:pt idx="121">
                  <c:v>68.674698795180717</c:v>
                </c:pt>
                <c:pt idx="122">
                  <c:v>31.46853146853147</c:v>
                </c:pt>
                <c:pt idx="123">
                  <c:v>92.156862745098039</c:v>
                </c:pt>
                <c:pt idx="124">
                  <c:v>80.487804878048792</c:v>
                </c:pt>
                <c:pt idx="125">
                  <c:v>90.163934426229503</c:v>
                </c:pt>
                <c:pt idx="126">
                  <c:v>72.307692307692307</c:v>
                </c:pt>
                <c:pt idx="127">
                  <c:v>78.82352941176471</c:v>
                </c:pt>
                <c:pt idx="128">
                  <c:v>73.033707865168537</c:v>
                </c:pt>
                <c:pt idx="129">
                  <c:v>82.608695652173907</c:v>
                </c:pt>
                <c:pt idx="130">
                  <c:v>55.905511811023622</c:v>
                </c:pt>
                <c:pt idx="131">
                  <c:v>64.705882352941174</c:v>
                </c:pt>
                <c:pt idx="132">
                  <c:v>79.797979797979806</c:v>
                </c:pt>
                <c:pt idx="133">
                  <c:v>38.461538461538467</c:v>
                </c:pt>
                <c:pt idx="134">
                  <c:v>79.310344827586206</c:v>
                </c:pt>
                <c:pt idx="135">
                  <c:v>70.642201834862391</c:v>
                </c:pt>
                <c:pt idx="136">
                  <c:v>45.454545454545453</c:v>
                </c:pt>
                <c:pt idx="137">
                  <c:v>87.654320987654316</c:v>
                </c:pt>
                <c:pt idx="138">
                  <c:v>45.945945945945951</c:v>
                </c:pt>
                <c:pt idx="139">
                  <c:v>54.455445544554458</c:v>
                </c:pt>
                <c:pt idx="140">
                  <c:v>67.832167832167841</c:v>
                </c:pt>
                <c:pt idx="141">
                  <c:v>78.723404255319153</c:v>
                </c:pt>
                <c:pt idx="142">
                  <c:v>55.371900826446286</c:v>
                </c:pt>
                <c:pt idx="143">
                  <c:v>58.762886597938149</c:v>
                </c:pt>
                <c:pt idx="144">
                  <c:v>51.724137931034484</c:v>
                </c:pt>
                <c:pt idx="145">
                  <c:v>19.254658385093169</c:v>
                </c:pt>
                <c:pt idx="146">
                  <c:v>72.815533980582529</c:v>
                </c:pt>
                <c:pt idx="147">
                  <c:v>49.677419354838712</c:v>
                </c:pt>
                <c:pt idx="148">
                  <c:v>70.212765957446805</c:v>
                </c:pt>
                <c:pt idx="149">
                  <c:v>72.093023255813947</c:v>
                </c:pt>
                <c:pt idx="150">
                  <c:v>52.72727272727272</c:v>
                </c:pt>
                <c:pt idx="151">
                  <c:v>77.777777777777786</c:v>
                </c:pt>
                <c:pt idx="152">
                  <c:v>71.428571428571431</c:v>
                </c:pt>
                <c:pt idx="153">
                  <c:v>82.456140350877192</c:v>
                </c:pt>
                <c:pt idx="154">
                  <c:v>94.871794871794862</c:v>
                </c:pt>
                <c:pt idx="155">
                  <c:v>82.456140350877192</c:v>
                </c:pt>
                <c:pt idx="156">
                  <c:v>62.264150943396224</c:v>
                </c:pt>
                <c:pt idx="157">
                  <c:v>60.629921259842526</c:v>
                </c:pt>
                <c:pt idx="158">
                  <c:v>46.564885496183209</c:v>
                </c:pt>
                <c:pt idx="159">
                  <c:v>70.731707317073173</c:v>
                </c:pt>
                <c:pt idx="160">
                  <c:v>70.212765957446805</c:v>
                </c:pt>
                <c:pt idx="161">
                  <c:v>65.079365079365076</c:v>
                </c:pt>
                <c:pt idx="162">
                  <c:v>31.606217616580313</c:v>
                </c:pt>
                <c:pt idx="163">
                  <c:v>57.2139303482587</c:v>
                </c:pt>
                <c:pt idx="164">
                  <c:v>58.441558441558442</c:v>
                </c:pt>
                <c:pt idx="165">
                  <c:v>79.710144927536234</c:v>
                </c:pt>
                <c:pt idx="166">
                  <c:v>79.310344827586206</c:v>
                </c:pt>
                <c:pt idx="167">
                  <c:v>41.436464088397791</c:v>
                </c:pt>
                <c:pt idx="168">
                  <c:v>57.446808510638306</c:v>
                </c:pt>
                <c:pt idx="169">
                  <c:v>56.862745098039213</c:v>
                </c:pt>
                <c:pt idx="170">
                  <c:v>95.180722891566262</c:v>
                </c:pt>
                <c:pt idx="171">
                  <c:v>79.104477611940297</c:v>
                </c:pt>
                <c:pt idx="172">
                  <c:v>94.666666666666671</c:v>
                </c:pt>
                <c:pt idx="173">
                  <c:v>73.333333333333329</c:v>
                </c:pt>
                <c:pt idx="174">
                  <c:v>78.761061946902657</c:v>
                </c:pt>
                <c:pt idx="175">
                  <c:v>69.072164948453604</c:v>
                </c:pt>
                <c:pt idx="176">
                  <c:v>74.603174603174608</c:v>
                </c:pt>
                <c:pt idx="177">
                  <c:v>66.451612903225808</c:v>
                </c:pt>
                <c:pt idx="178">
                  <c:v>56.8</c:v>
                </c:pt>
                <c:pt idx="179">
                  <c:v>67.088607594936718</c:v>
                </c:pt>
                <c:pt idx="180">
                  <c:v>48.936170212765958</c:v>
                </c:pt>
                <c:pt idx="181">
                  <c:v>34.640522875816991</c:v>
                </c:pt>
                <c:pt idx="182">
                  <c:v>54.385964912280706</c:v>
                </c:pt>
                <c:pt idx="183">
                  <c:v>69.811320754716974</c:v>
                </c:pt>
                <c:pt idx="184">
                  <c:v>75.384615384615387</c:v>
                </c:pt>
                <c:pt idx="185">
                  <c:v>47.107438016528924</c:v>
                </c:pt>
                <c:pt idx="186">
                  <c:v>54.716981132075468</c:v>
                </c:pt>
                <c:pt idx="187">
                  <c:v>93.442622950819683</c:v>
                </c:pt>
                <c:pt idx="188">
                  <c:v>53.153153153153156</c:v>
                </c:pt>
                <c:pt idx="189">
                  <c:v>81.132075471698116</c:v>
                </c:pt>
                <c:pt idx="190">
                  <c:v>79.104477611940297</c:v>
                </c:pt>
                <c:pt idx="191">
                  <c:v>45.454545454545453</c:v>
                </c:pt>
                <c:pt idx="192">
                  <c:v>74.358974358974365</c:v>
                </c:pt>
                <c:pt idx="193">
                  <c:v>78.461538461538467</c:v>
                </c:pt>
                <c:pt idx="194">
                  <c:v>61.29032258064516</c:v>
                </c:pt>
                <c:pt idx="195">
                  <c:v>74.193548387096769</c:v>
                </c:pt>
                <c:pt idx="196">
                  <c:v>54.455445544554458</c:v>
                </c:pt>
                <c:pt idx="197">
                  <c:v>77.528089887640448</c:v>
                </c:pt>
                <c:pt idx="198">
                  <c:v>42.690058479532162</c:v>
                </c:pt>
                <c:pt idx="199">
                  <c:v>78.378378378378372</c:v>
                </c:pt>
                <c:pt idx="200">
                  <c:v>56.09756097560976</c:v>
                </c:pt>
                <c:pt idx="201">
                  <c:v>74.358974358974365</c:v>
                </c:pt>
                <c:pt idx="202">
                  <c:v>74.358974358974365</c:v>
                </c:pt>
                <c:pt idx="203">
                  <c:v>40.659340659340657</c:v>
                </c:pt>
                <c:pt idx="204">
                  <c:v>69.230769230769226</c:v>
                </c:pt>
                <c:pt idx="205">
                  <c:v>51.724137931034484</c:v>
                </c:pt>
                <c:pt idx="206">
                  <c:v>77.011494252873561</c:v>
                </c:pt>
                <c:pt idx="207">
                  <c:v>43.19526627218935</c:v>
                </c:pt>
                <c:pt idx="208">
                  <c:v>73.584905660377359</c:v>
                </c:pt>
                <c:pt idx="209">
                  <c:v>66.315789473684205</c:v>
                </c:pt>
                <c:pt idx="210">
                  <c:v>68</c:v>
                </c:pt>
                <c:pt idx="211">
                  <c:v>94.059405940594047</c:v>
                </c:pt>
                <c:pt idx="212">
                  <c:v>65.517241379310349</c:v>
                </c:pt>
                <c:pt idx="213">
                  <c:v>73.033707865168537</c:v>
                </c:pt>
                <c:pt idx="214">
                  <c:v>74.257425742574256</c:v>
                </c:pt>
                <c:pt idx="215">
                  <c:v>72.881355932203391</c:v>
                </c:pt>
                <c:pt idx="216">
                  <c:v>63.451776649746193</c:v>
                </c:pt>
                <c:pt idx="217">
                  <c:v>67.567567567567565</c:v>
                </c:pt>
                <c:pt idx="218">
                  <c:v>70.078740157480311</c:v>
                </c:pt>
                <c:pt idx="219">
                  <c:v>78.378378378378372</c:v>
                </c:pt>
                <c:pt idx="220">
                  <c:v>80.392156862745097</c:v>
                </c:pt>
                <c:pt idx="221">
                  <c:v>82.978723404255319</c:v>
                </c:pt>
                <c:pt idx="222">
                  <c:v>66.917293233082702</c:v>
                </c:pt>
                <c:pt idx="223">
                  <c:v>79.310344827586206</c:v>
                </c:pt>
                <c:pt idx="224">
                  <c:v>100</c:v>
                </c:pt>
                <c:pt idx="225">
                  <c:v>52.317880794701985</c:v>
                </c:pt>
                <c:pt idx="226">
                  <c:v>73.509933774834437</c:v>
                </c:pt>
                <c:pt idx="227">
                  <c:v>94.20289855072464</c:v>
                </c:pt>
                <c:pt idx="228">
                  <c:v>69.655172413793096</c:v>
                </c:pt>
                <c:pt idx="229">
                  <c:v>51.243781094527364</c:v>
                </c:pt>
                <c:pt idx="230">
                  <c:v>65.289256198347118</c:v>
                </c:pt>
                <c:pt idx="231">
                  <c:v>37.336814621409921</c:v>
                </c:pt>
                <c:pt idx="232">
                  <c:v>58.208955223880601</c:v>
                </c:pt>
                <c:pt idx="233">
                  <c:v>62.318840579710141</c:v>
                </c:pt>
                <c:pt idx="234">
                  <c:v>51.401869158878498</c:v>
                </c:pt>
                <c:pt idx="235">
                  <c:v>28.421052631578945</c:v>
                </c:pt>
                <c:pt idx="236">
                  <c:v>69.230769230769226</c:v>
                </c:pt>
                <c:pt idx="237">
                  <c:v>39.130434782608695</c:v>
                </c:pt>
                <c:pt idx="238">
                  <c:v>90.839694656488547</c:v>
                </c:pt>
                <c:pt idx="239">
                  <c:v>84.615384615384613</c:v>
                </c:pt>
                <c:pt idx="240">
                  <c:v>95.121951219512198</c:v>
                </c:pt>
                <c:pt idx="241">
                  <c:v>84</c:v>
                </c:pt>
                <c:pt idx="242">
                  <c:v>68.361581920903959</c:v>
                </c:pt>
                <c:pt idx="243">
                  <c:v>70.491803278688522</c:v>
                </c:pt>
                <c:pt idx="244">
                  <c:v>73.134328358208961</c:v>
                </c:pt>
                <c:pt idx="245">
                  <c:v>86.516853932584269</c:v>
                </c:pt>
                <c:pt idx="246">
                  <c:v>66.037735849056602</c:v>
                </c:pt>
                <c:pt idx="247">
                  <c:v>79.310344827586206</c:v>
                </c:pt>
                <c:pt idx="248">
                  <c:v>92.452830188679243</c:v>
                </c:pt>
                <c:pt idx="249">
                  <c:v>24.840764331210192</c:v>
                </c:pt>
                <c:pt idx="250">
                  <c:v>54.098360655737707</c:v>
                </c:pt>
                <c:pt idx="251">
                  <c:v>69.863013698630141</c:v>
                </c:pt>
                <c:pt idx="252">
                  <c:v>79.43925233644859</c:v>
                </c:pt>
                <c:pt idx="253">
                  <c:v>90.804597701149419</c:v>
                </c:pt>
                <c:pt idx="254">
                  <c:v>80.246913580246911</c:v>
                </c:pt>
                <c:pt idx="255">
                  <c:v>63.380281690140848</c:v>
                </c:pt>
                <c:pt idx="256">
                  <c:v>71.851851851851862</c:v>
                </c:pt>
                <c:pt idx="257">
                  <c:v>87.096774193548384</c:v>
                </c:pt>
                <c:pt idx="258">
                  <c:v>11.111111111111111</c:v>
                </c:pt>
                <c:pt idx="259">
                  <c:v>80.392156862745097</c:v>
                </c:pt>
                <c:pt idx="260">
                  <c:v>78.94736842105263</c:v>
                </c:pt>
                <c:pt idx="261">
                  <c:v>34.219269102990033</c:v>
                </c:pt>
                <c:pt idx="262">
                  <c:v>74.545454545454547</c:v>
                </c:pt>
                <c:pt idx="263">
                  <c:v>89.830508474576277</c:v>
                </c:pt>
                <c:pt idx="264">
                  <c:v>46.206896551724135</c:v>
                </c:pt>
                <c:pt idx="265">
                  <c:v>80.132450331125824</c:v>
                </c:pt>
                <c:pt idx="266">
                  <c:v>36.585365853658537</c:v>
                </c:pt>
                <c:pt idx="267">
                  <c:v>69.863013698630141</c:v>
                </c:pt>
                <c:pt idx="268">
                  <c:v>77.777777777777786</c:v>
                </c:pt>
                <c:pt idx="269">
                  <c:v>71.014492753623188</c:v>
                </c:pt>
                <c:pt idx="270">
                  <c:v>78.94736842105263</c:v>
                </c:pt>
                <c:pt idx="271">
                  <c:v>74.774774774774784</c:v>
                </c:pt>
                <c:pt idx="272">
                  <c:v>92.452830188679243</c:v>
                </c:pt>
                <c:pt idx="273">
                  <c:v>94.285714285714278</c:v>
                </c:pt>
                <c:pt idx="274">
                  <c:v>68</c:v>
                </c:pt>
                <c:pt idx="275">
                  <c:v>84.905660377358487</c:v>
                </c:pt>
                <c:pt idx="276">
                  <c:v>74.436090225563916</c:v>
                </c:pt>
                <c:pt idx="277">
                  <c:v>51.648351648351657</c:v>
                </c:pt>
                <c:pt idx="278">
                  <c:v>74.603174603174608</c:v>
                </c:pt>
                <c:pt idx="279">
                  <c:v>87.2340425531915</c:v>
                </c:pt>
                <c:pt idx="280">
                  <c:v>84</c:v>
                </c:pt>
                <c:pt idx="281">
                  <c:v>65.957446808510639</c:v>
                </c:pt>
                <c:pt idx="282">
                  <c:v>60.655737704918032</c:v>
                </c:pt>
                <c:pt idx="283">
                  <c:v>88.235294117647058</c:v>
                </c:pt>
                <c:pt idx="284">
                  <c:v>93.548387096774192</c:v>
                </c:pt>
                <c:pt idx="285">
                  <c:v>74.545454545454547</c:v>
                </c:pt>
                <c:pt idx="286">
                  <c:v>86.813186813186817</c:v>
                </c:pt>
                <c:pt idx="287">
                  <c:v>59.183673469387756</c:v>
                </c:pt>
                <c:pt idx="288">
                  <c:v>78.94736842105263</c:v>
                </c:pt>
                <c:pt idx="289">
                  <c:v>71.084337349397586</c:v>
                </c:pt>
                <c:pt idx="290">
                  <c:v>47.826086956521742</c:v>
                </c:pt>
                <c:pt idx="291">
                  <c:v>93.103448275862064</c:v>
                </c:pt>
                <c:pt idx="292">
                  <c:v>69.014084507042256</c:v>
                </c:pt>
                <c:pt idx="293">
                  <c:v>77.142857142857153</c:v>
                </c:pt>
                <c:pt idx="294">
                  <c:v>73.643410852713174</c:v>
                </c:pt>
                <c:pt idx="295">
                  <c:v>83.050847457627114</c:v>
                </c:pt>
                <c:pt idx="296">
                  <c:v>78.378378378378372</c:v>
                </c:pt>
                <c:pt idx="297">
                  <c:v>89.189189189189193</c:v>
                </c:pt>
                <c:pt idx="298">
                  <c:v>78.313253012048193</c:v>
                </c:pt>
                <c:pt idx="299">
                  <c:v>95.744680851063833</c:v>
                </c:pt>
                <c:pt idx="300">
                  <c:v>77.464788732394368</c:v>
                </c:pt>
                <c:pt idx="301">
                  <c:v>84.905660377358487</c:v>
                </c:pt>
                <c:pt idx="302">
                  <c:v>48.672566371681413</c:v>
                </c:pt>
                <c:pt idx="303">
                  <c:v>47.692307692307693</c:v>
                </c:pt>
                <c:pt idx="304">
                  <c:v>85.507246376811594</c:v>
                </c:pt>
                <c:pt idx="305">
                  <c:v>79.104477611940297</c:v>
                </c:pt>
                <c:pt idx="306">
                  <c:v>49.514563106796118</c:v>
                </c:pt>
                <c:pt idx="307">
                  <c:v>85.321100917431195</c:v>
                </c:pt>
                <c:pt idx="308">
                  <c:v>74.545454545454547</c:v>
                </c:pt>
                <c:pt idx="309">
                  <c:v>10.76923076923077</c:v>
                </c:pt>
                <c:pt idx="310">
                  <c:v>65.853658536585371</c:v>
                </c:pt>
                <c:pt idx="311">
                  <c:v>73.205741626794264</c:v>
                </c:pt>
                <c:pt idx="312">
                  <c:v>89.87341772151899</c:v>
                </c:pt>
                <c:pt idx="313">
                  <c:v>38.181818181818187</c:v>
                </c:pt>
                <c:pt idx="314">
                  <c:v>87.301587301587304</c:v>
                </c:pt>
                <c:pt idx="315">
                  <c:v>50.769230769230766</c:v>
                </c:pt>
                <c:pt idx="316">
                  <c:v>80.392156862745097</c:v>
                </c:pt>
                <c:pt idx="317">
                  <c:v>94.029850746268664</c:v>
                </c:pt>
                <c:pt idx="318">
                  <c:v>78.378378378378372</c:v>
                </c:pt>
                <c:pt idx="319">
                  <c:v>78.181818181818187</c:v>
                </c:pt>
                <c:pt idx="320">
                  <c:v>46.938775510204081</c:v>
                </c:pt>
                <c:pt idx="321">
                  <c:v>56.756756756756758</c:v>
                </c:pt>
                <c:pt idx="322">
                  <c:v>78.082191780821915</c:v>
                </c:pt>
                <c:pt idx="323">
                  <c:v>34.693877551020407</c:v>
                </c:pt>
                <c:pt idx="324">
                  <c:v>82.089552238805979</c:v>
                </c:pt>
                <c:pt idx="325">
                  <c:v>70.212765957446805</c:v>
                </c:pt>
                <c:pt idx="326">
                  <c:v>94.366197183098592</c:v>
                </c:pt>
                <c:pt idx="327">
                  <c:v>60.439560439560438</c:v>
                </c:pt>
                <c:pt idx="328">
                  <c:v>80.419580419580413</c:v>
                </c:pt>
                <c:pt idx="329">
                  <c:v>80.392156862745097</c:v>
                </c:pt>
                <c:pt idx="330">
                  <c:v>37.404580152671755</c:v>
                </c:pt>
                <c:pt idx="331">
                  <c:v>57.894736842105267</c:v>
                </c:pt>
                <c:pt idx="332">
                  <c:v>87.096774193548384</c:v>
                </c:pt>
                <c:pt idx="333">
                  <c:v>76.119402985074629</c:v>
                </c:pt>
                <c:pt idx="334">
                  <c:v>32.087227414330215</c:v>
                </c:pt>
                <c:pt idx="335">
                  <c:v>80.327868852459019</c:v>
                </c:pt>
                <c:pt idx="336">
                  <c:v>79.2</c:v>
                </c:pt>
                <c:pt idx="337">
                  <c:v>92.156862745098039</c:v>
                </c:pt>
                <c:pt idx="338">
                  <c:v>57.798165137614674</c:v>
                </c:pt>
                <c:pt idx="339">
                  <c:v>85.18518518518519</c:v>
                </c:pt>
                <c:pt idx="340">
                  <c:v>56.424581005586596</c:v>
                </c:pt>
                <c:pt idx="341">
                  <c:v>91.489361702127653</c:v>
                </c:pt>
                <c:pt idx="342">
                  <c:v>79.591836734693871</c:v>
                </c:pt>
                <c:pt idx="343">
                  <c:v>80.198019801980209</c:v>
                </c:pt>
                <c:pt idx="344">
                  <c:v>84.905660377358487</c:v>
                </c:pt>
                <c:pt idx="345">
                  <c:v>91.489361702127653</c:v>
                </c:pt>
                <c:pt idx="346">
                  <c:v>47.368421052631575</c:v>
                </c:pt>
                <c:pt idx="347">
                  <c:v>76</c:v>
                </c:pt>
                <c:pt idx="348">
                  <c:v>75.280898876404493</c:v>
                </c:pt>
                <c:pt idx="349">
                  <c:v>73.584905660377359</c:v>
                </c:pt>
                <c:pt idx="350">
                  <c:v>62.711864406779661</c:v>
                </c:pt>
                <c:pt idx="351">
                  <c:v>79.797979797979806</c:v>
                </c:pt>
                <c:pt idx="352">
                  <c:v>80.645161290322577</c:v>
                </c:pt>
                <c:pt idx="353">
                  <c:v>75.342465753424662</c:v>
                </c:pt>
                <c:pt idx="354">
                  <c:v>68.539325842696627</c:v>
                </c:pt>
                <c:pt idx="355">
                  <c:v>64.96350364963503</c:v>
                </c:pt>
                <c:pt idx="356">
                  <c:v>80.487804878048792</c:v>
                </c:pt>
                <c:pt idx="357">
                  <c:v>54.929577464788736</c:v>
                </c:pt>
                <c:pt idx="358">
                  <c:v>74.803149606299215</c:v>
                </c:pt>
                <c:pt idx="359">
                  <c:v>93.548387096774192</c:v>
                </c:pt>
                <c:pt idx="360">
                  <c:v>47.692307692307693</c:v>
                </c:pt>
                <c:pt idx="361">
                  <c:v>77.777777777777786</c:v>
                </c:pt>
                <c:pt idx="362">
                  <c:v>76</c:v>
                </c:pt>
                <c:pt idx="363">
                  <c:v>55.67567567567567</c:v>
                </c:pt>
                <c:pt idx="364">
                  <c:v>81.818181818181827</c:v>
                </c:pt>
                <c:pt idx="365">
                  <c:v>60.248447204968947</c:v>
                </c:pt>
                <c:pt idx="366">
                  <c:v>48.387096774193552</c:v>
                </c:pt>
                <c:pt idx="367">
                  <c:v>52.941176470588239</c:v>
                </c:pt>
                <c:pt idx="368">
                  <c:v>68.627450980392155</c:v>
                </c:pt>
                <c:pt idx="369">
                  <c:v>32.510288065843625</c:v>
                </c:pt>
                <c:pt idx="370">
                  <c:v>71.428571428571431</c:v>
                </c:pt>
                <c:pt idx="371">
                  <c:v>63.975155279503106</c:v>
                </c:pt>
                <c:pt idx="372">
                  <c:v>69.892473118279568</c:v>
                </c:pt>
                <c:pt idx="373">
                  <c:v>59.064327485380119</c:v>
                </c:pt>
                <c:pt idx="374">
                  <c:v>76.744186046511629</c:v>
                </c:pt>
                <c:pt idx="375">
                  <c:v>58.865248226950349</c:v>
                </c:pt>
                <c:pt idx="376">
                  <c:v>43.39622641509434</c:v>
                </c:pt>
                <c:pt idx="377">
                  <c:v>96.078431372549019</c:v>
                </c:pt>
                <c:pt idx="378">
                  <c:v>72.8</c:v>
                </c:pt>
                <c:pt idx="379">
                  <c:v>84.615384615384613</c:v>
                </c:pt>
                <c:pt idx="380">
                  <c:v>62.352941176470587</c:v>
                </c:pt>
                <c:pt idx="381">
                  <c:v>44.588744588744589</c:v>
                </c:pt>
                <c:pt idx="382">
                  <c:v>62.264150943396224</c:v>
                </c:pt>
                <c:pt idx="383">
                  <c:v>89.473684210526315</c:v>
                </c:pt>
                <c:pt idx="384">
                  <c:v>90.163934426229503</c:v>
                </c:pt>
                <c:pt idx="385">
                  <c:v>93.103448275862064</c:v>
                </c:pt>
                <c:pt idx="386">
                  <c:v>78.461538461538467</c:v>
                </c:pt>
                <c:pt idx="387">
                  <c:v>67.567567567567565</c:v>
                </c:pt>
                <c:pt idx="388">
                  <c:v>75.384615384615387</c:v>
                </c:pt>
                <c:pt idx="389">
                  <c:v>77.777777777777786</c:v>
                </c:pt>
                <c:pt idx="390">
                  <c:v>71.974522292993626</c:v>
                </c:pt>
                <c:pt idx="391">
                  <c:v>69.696969696969703</c:v>
                </c:pt>
                <c:pt idx="392">
                  <c:v>93.939393939393938</c:v>
                </c:pt>
                <c:pt idx="393">
                  <c:v>62.711864406779661</c:v>
                </c:pt>
                <c:pt idx="394">
                  <c:v>65.517241379310349</c:v>
                </c:pt>
                <c:pt idx="395">
                  <c:v>83.098591549295776</c:v>
                </c:pt>
                <c:pt idx="396">
                  <c:v>79.220779220779221</c:v>
                </c:pt>
                <c:pt idx="397">
                  <c:v>79.831932773109244</c:v>
                </c:pt>
                <c:pt idx="398">
                  <c:v>61.643835616438359</c:v>
                </c:pt>
                <c:pt idx="399">
                  <c:v>64.705882352941174</c:v>
                </c:pt>
                <c:pt idx="400">
                  <c:v>76.811594202898547</c:v>
                </c:pt>
                <c:pt idx="401">
                  <c:v>42.857142857142854</c:v>
                </c:pt>
                <c:pt idx="402">
                  <c:v>88.405797101449281</c:v>
                </c:pt>
                <c:pt idx="403">
                  <c:v>79.66101694915254</c:v>
                </c:pt>
                <c:pt idx="404">
                  <c:v>46.835443037974684</c:v>
                </c:pt>
                <c:pt idx="405">
                  <c:v>72.602739726027394</c:v>
                </c:pt>
                <c:pt idx="406">
                  <c:v>60</c:v>
                </c:pt>
                <c:pt idx="407">
                  <c:v>79.710144927536234</c:v>
                </c:pt>
                <c:pt idx="408">
                  <c:v>60.784313725490193</c:v>
                </c:pt>
                <c:pt idx="409">
                  <c:v>63.503649635036496</c:v>
                </c:pt>
                <c:pt idx="410">
                  <c:v>51.778656126482211</c:v>
                </c:pt>
                <c:pt idx="411">
                  <c:v>88.235294117647058</c:v>
                </c:pt>
                <c:pt idx="412">
                  <c:v>71.428571428571431</c:v>
                </c:pt>
                <c:pt idx="413">
                  <c:v>68.421052631578945</c:v>
                </c:pt>
                <c:pt idx="414">
                  <c:v>63.636363636363633</c:v>
                </c:pt>
                <c:pt idx="415">
                  <c:v>77.181208053691279</c:v>
                </c:pt>
                <c:pt idx="416">
                  <c:v>74.311926605504581</c:v>
                </c:pt>
                <c:pt idx="417">
                  <c:v>82.608695652173907</c:v>
                </c:pt>
                <c:pt idx="418">
                  <c:v>75.280898876404493</c:v>
                </c:pt>
                <c:pt idx="419">
                  <c:v>72.41379310344827</c:v>
                </c:pt>
                <c:pt idx="420">
                  <c:v>48.031496062992126</c:v>
                </c:pt>
                <c:pt idx="421">
                  <c:v>80.392156862745097</c:v>
                </c:pt>
                <c:pt idx="422">
                  <c:v>79.104477611940297</c:v>
                </c:pt>
                <c:pt idx="423">
                  <c:v>93.103448275862064</c:v>
                </c:pt>
                <c:pt idx="424">
                  <c:v>31.707317073170731</c:v>
                </c:pt>
                <c:pt idx="425">
                  <c:v>89.189189189189193</c:v>
                </c:pt>
                <c:pt idx="426">
                  <c:v>44.347826086956523</c:v>
                </c:pt>
                <c:pt idx="427">
                  <c:v>77.777777777777786</c:v>
                </c:pt>
                <c:pt idx="428">
                  <c:v>75.609756097560975</c:v>
                </c:pt>
                <c:pt idx="429">
                  <c:v>75.384615384615387</c:v>
                </c:pt>
                <c:pt idx="430">
                  <c:v>48.387096774193552</c:v>
                </c:pt>
                <c:pt idx="431">
                  <c:v>78.294573643410843</c:v>
                </c:pt>
                <c:pt idx="432">
                  <c:v>96.92307692307692</c:v>
                </c:pt>
                <c:pt idx="433">
                  <c:v>78.181818181818187</c:v>
                </c:pt>
                <c:pt idx="434">
                  <c:v>92.592592592592595</c:v>
                </c:pt>
                <c:pt idx="435">
                  <c:v>42.857142857142854</c:v>
                </c:pt>
                <c:pt idx="436">
                  <c:v>94.029850746268664</c:v>
                </c:pt>
                <c:pt idx="437">
                  <c:v>80.645161290322577</c:v>
                </c:pt>
                <c:pt idx="438">
                  <c:v>90.697674418604649</c:v>
                </c:pt>
                <c:pt idx="439">
                  <c:v>76.271186440677965</c:v>
                </c:pt>
                <c:pt idx="440">
                  <c:v>42.857142857142854</c:v>
                </c:pt>
                <c:pt idx="441">
                  <c:v>71.764705882352942</c:v>
                </c:pt>
                <c:pt idx="442">
                  <c:v>77.049180327868854</c:v>
                </c:pt>
                <c:pt idx="443">
                  <c:v>81.132075471698116</c:v>
                </c:pt>
                <c:pt idx="444">
                  <c:v>68</c:v>
                </c:pt>
                <c:pt idx="445">
                  <c:v>48.936170212765958</c:v>
                </c:pt>
                <c:pt idx="446">
                  <c:v>52.72727272727272</c:v>
                </c:pt>
                <c:pt idx="447">
                  <c:v>57.894736842105267</c:v>
                </c:pt>
                <c:pt idx="448">
                  <c:v>81.818181818181827</c:v>
                </c:pt>
                <c:pt idx="449">
                  <c:v>85.507246376811594</c:v>
                </c:pt>
                <c:pt idx="450">
                  <c:v>100</c:v>
                </c:pt>
                <c:pt idx="451">
                  <c:v>78.181818181818187</c:v>
                </c:pt>
                <c:pt idx="452">
                  <c:v>74.803149606299215</c:v>
                </c:pt>
                <c:pt idx="453">
                  <c:v>93.939393939393938</c:v>
                </c:pt>
                <c:pt idx="454">
                  <c:v>71.428571428571431</c:v>
                </c:pt>
                <c:pt idx="455">
                  <c:v>79.84496124031007</c:v>
                </c:pt>
                <c:pt idx="456">
                  <c:v>89.189189189189193</c:v>
                </c:pt>
                <c:pt idx="457">
                  <c:v>50.173010380622841</c:v>
                </c:pt>
                <c:pt idx="458">
                  <c:v>87.096774193548384</c:v>
                </c:pt>
                <c:pt idx="459">
                  <c:v>76</c:v>
                </c:pt>
                <c:pt idx="460">
                  <c:v>79.74683544303798</c:v>
                </c:pt>
                <c:pt idx="461">
                  <c:v>75.609756097560975</c:v>
                </c:pt>
                <c:pt idx="462">
                  <c:v>73.333333333333329</c:v>
                </c:pt>
                <c:pt idx="463">
                  <c:v>52</c:v>
                </c:pt>
                <c:pt idx="464">
                  <c:v>88.764044943820224</c:v>
                </c:pt>
                <c:pt idx="465">
                  <c:v>79.104477611940297</c:v>
                </c:pt>
                <c:pt idx="466">
                  <c:v>82.068965517241381</c:v>
                </c:pt>
                <c:pt idx="467">
                  <c:v>74.436090225563916</c:v>
                </c:pt>
                <c:pt idx="468">
                  <c:v>49.253731343283583</c:v>
                </c:pt>
                <c:pt idx="469">
                  <c:v>95.744680851063833</c:v>
                </c:pt>
                <c:pt idx="470">
                  <c:v>75.342465753424662</c:v>
                </c:pt>
                <c:pt idx="471">
                  <c:v>83.673469387755105</c:v>
                </c:pt>
                <c:pt idx="472">
                  <c:v>75.510204081632651</c:v>
                </c:pt>
                <c:pt idx="473">
                  <c:v>14.027149321266968</c:v>
                </c:pt>
                <c:pt idx="474">
                  <c:v>74.468085106382972</c:v>
                </c:pt>
                <c:pt idx="475">
                  <c:v>55.725190839694662</c:v>
                </c:pt>
                <c:pt idx="476">
                  <c:v>42.281879194630875</c:v>
                </c:pt>
                <c:pt idx="477">
                  <c:v>68.944099378881987</c:v>
                </c:pt>
                <c:pt idx="478">
                  <c:v>52.569169960474305</c:v>
                </c:pt>
                <c:pt idx="479">
                  <c:v>85.18518518518519</c:v>
                </c:pt>
                <c:pt idx="480">
                  <c:v>70.247933884297524</c:v>
                </c:pt>
                <c:pt idx="481">
                  <c:v>67.567567567567565</c:v>
                </c:pt>
                <c:pt idx="482">
                  <c:v>46.236559139784944</c:v>
                </c:pt>
                <c:pt idx="483">
                  <c:v>68.421052631578945</c:v>
                </c:pt>
                <c:pt idx="484">
                  <c:v>37.06293706293706</c:v>
                </c:pt>
                <c:pt idx="485">
                  <c:v>79.104477611940297</c:v>
                </c:pt>
                <c:pt idx="486">
                  <c:v>80.281690140845072</c:v>
                </c:pt>
                <c:pt idx="487">
                  <c:v>73.333333333333329</c:v>
                </c:pt>
                <c:pt idx="488">
                  <c:v>60.330578512396691</c:v>
                </c:pt>
                <c:pt idx="489">
                  <c:v>92.452830188679243</c:v>
                </c:pt>
                <c:pt idx="490">
                  <c:v>79.084967320261441</c:v>
                </c:pt>
                <c:pt idx="491">
                  <c:v>85.18518518518519</c:v>
                </c:pt>
                <c:pt idx="492">
                  <c:v>22.137404580152673</c:v>
                </c:pt>
                <c:pt idx="493">
                  <c:v>43.15789473684211</c:v>
                </c:pt>
                <c:pt idx="494">
                  <c:v>70.09345794392523</c:v>
                </c:pt>
                <c:pt idx="495">
                  <c:v>66.88741721854305</c:v>
                </c:pt>
                <c:pt idx="496">
                  <c:v>74.117647058823536</c:v>
                </c:pt>
                <c:pt idx="497">
                  <c:v>44.61538461538462</c:v>
                </c:pt>
                <c:pt idx="498">
                  <c:v>73.333333333333329</c:v>
                </c:pt>
                <c:pt idx="499">
                  <c:v>81.333333333333329</c:v>
                </c:pt>
              </c:numCache>
            </c:numRef>
          </c:xVal>
          <c:yVal>
            <c:numRef>
              <c:f>'Residual plots for model'!$C$27:$C$526</c:f>
              <c:numCache>
                <c:formatCode>General</c:formatCode>
                <c:ptCount val="500"/>
                <c:pt idx="0">
                  <c:v>-0.3964562738969355</c:v>
                </c:pt>
                <c:pt idx="1">
                  <c:v>-0.27393790154508491</c:v>
                </c:pt>
                <c:pt idx="2">
                  <c:v>0.60949260145006523</c:v>
                </c:pt>
                <c:pt idx="3">
                  <c:v>0.45948395217641735</c:v>
                </c:pt>
                <c:pt idx="4">
                  <c:v>-0.55907373451610898</c:v>
                </c:pt>
                <c:pt idx="5">
                  <c:v>-0.92044284916433972</c:v>
                </c:pt>
                <c:pt idx="6">
                  <c:v>-1.1788765073149459</c:v>
                </c:pt>
                <c:pt idx="7">
                  <c:v>0.5419003852004316</c:v>
                </c:pt>
                <c:pt idx="8">
                  <c:v>-0.20479295214027626</c:v>
                </c:pt>
                <c:pt idx="9">
                  <c:v>-0.1096983592907792</c:v>
                </c:pt>
                <c:pt idx="10">
                  <c:v>-1.3286959625985695E-2</c:v>
                </c:pt>
                <c:pt idx="11">
                  <c:v>-3.716878185551753E-2</c:v>
                </c:pt>
                <c:pt idx="12">
                  <c:v>0.12819929637534511</c:v>
                </c:pt>
                <c:pt idx="13">
                  <c:v>0.49520855178198531</c:v>
                </c:pt>
                <c:pt idx="14">
                  <c:v>0.30647175688269623</c:v>
                </c:pt>
                <c:pt idx="15">
                  <c:v>-0.52566690458899501</c:v>
                </c:pt>
                <c:pt idx="16">
                  <c:v>-0.67250776068810225</c:v>
                </c:pt>
                <c:pt idx="17">
                  <c:v>-9.282629138296894E-2</c:v>
                </c:pt>
                <c:pt idx="18">
                  <c:v>-0.60672862483723478</c:v>
                </c:pt>
                <c:pt idx="19">
                  <c:v>1.2070386648997733E-2</c:v>
                </c:pt>
                <c:pt idx="20">
                  <c:v>-0.61478629882503366</c:v>
                </c:pt>
                <c:pt idx="21">
                  <c:v>-0.26216960950683887</c:v>
                </c:pt>
                <c:pt idx="22">
                  <c:v>0.31553047162589642</c:v>
                </c:pt>
                <c:pt idx="23">
                  <c:v>-0.70194160967312236</c:v>
                </c:pt>
                <c:pt idx="24">
                  <c:v>0.21185579636705576</c:v>
                </c:pt>
                <c:pt idx="25">
                  <c:v>-0.66147713303147349</c:v>
                </c:pt>
                <c:pt idx="26">
                  <c:v>-0.77520190423519963</c:v>
                </c:pt>
                <c:pt idx="27">
                  <c:v>-0.71235063039434454</c:v>
                </c:pt>
                <c:pt idx="28">
                  <c:v>0.1311314736164757</c:v>
                </c:pt>
                <c:pt idx="29">
                  <c:v>-0.87138678550163284</c:v>
                </c:pt>
                <c:pt idx="30">
                  <c:v>0.49330114977882644</c:v>
                </c:pt>
                <c:pt idx="31">
                  <c:v>-0.23180181857906845</c:v>
                </c:pt>
                <c:pt idx="32">
                  <c:v>-0.65885048514862854</c:v>
                </c:pt>
                <c:pt idx="33">
                  <c:v>-0.59754769575166478</c:v>
                </c:pt>
                <c:pt idx="34">
                  <c:v>-0.20176046280237525</c:v>
                </c:pt>
                <c:pt idx="35">
                  <c:v>0.67128625655175256</c:v>
                </c:pt>
                <c:pt idx="36">
                  <c:v>0.76711219101890915</c:v>
                </c:pt>
                <c:pt idx="37">
                  <c:v>0.93208450585996427</c:v>
                </c:pt>
                <c:pt idx="38">
                  <c:v>-0.19927669256968095</c:v>
                </c:pt>
                <c:pt idx="39">
                  <c:v>0.22137125275528824</c:v>
                </c:pt>
                <c:pt idx="40">
                  <c:v>-0.83053953464321761</c:v>
                </c:pt>
                <c:pt idx="41">
                  <c:v>1.0525433736988354</c:v>
                </c:pt>
                <c:pt idx="42">
                  <c:v>4.7039162251023114E-2</c:v>
                </c:pt>
                <c:pt idx="43">
                  <c:v>0.62551691900978224</c:v>
                </c:pt>
                <c:pt idx="44">
                  <c:v>-0.81781561179672746</c:v>
                </c:pt>
                <c:pt idx="45">
                  <c:v>0.2624679744317131</c:v>
                </c:pt>
                <c:pt idx="46">
                  <c:v>0.78540104480621942</c:v>
                </c:pt>
                <c:pt idx="47">
                  <c:v>-0.24797985989915095</c:v>
                </c:pt>
                <c:pt idx="48">
                  <c:v>-0.94443225675267195</c:v>
                </c:pt>
                <c:pt idx="49">
                  <c:v>0.87521562787198981</c:v>
                </c:pt>
                <c:pt idx="50">
                  <c:v>-0.73765551410730712</c:v>
                </c:pt>
                <c:pt idx="51">
                  <c:v>0.88041007173964125</c:v>
                </c:pt>
                <c:pt idx="52">
                  <c:v>-0.57253205619749359</c:v>
                </c:pt>
                <c:pt idx="53">
                  <c:v>0.24281326790206226</c:v>
                </c:pt>
                <c:pt idx="54">
                  <c:v>-0.43451446703322283</c:v>
                </c:pt>
                <c:pt idx="55">
                  <c:v>0.40696817726551249</c:v>
                </c:pt>
                <c:pt idx="56">
                  <c:v>0.63364857893985249</c:v>
                </c:pt>
                <c:pt idx="57">
                  <c:v>-0.64862051526897613</c:v>
                </c:pt>
                <c:pt idx="58">
                  <c:v>-0.54379179509959119</c:v>
                </c:pt>
                <c:pt idx="59">
                  <c:v>-0.19665962972312645</c:v>
                </c:pt>
                <c:pt idx="60">
                  <c:v>-0.94849898854555192</c:v>
                </c:pt>
                <c:pt idx="61">
                  <c:v>-0.26716925468601715</c:v>
                </c:pt>
                <c:pt idx="62">
                  <c:v>-0.17951034721225945</c:v>
                </c:pt>
                <c:pt idx="63">
                  <c:v>0.59027402129604667</c:v>
                </c:pt>
                <c:pt idx="64">
                  <c:v>0.62895631313574896</c:v>
                </c:pt>
                <c:pt idx="65">
                  <c:v>0.46504027590871289</c:v>
                </c:pt>
                <c:pt idx="66">
                  <c:v>0.44568831937349263</c:v>
                </c:pt>
                <c:pt idx="67">
                  <c:v>7.1808670712583123E-2</c:v>
                </c:pt>
                <c:pt idx="68">
                  <c:v>0.89995658973555948</c:v>
                </c:pt>
                <c:pt idx="69">
                  <c:v>-0.10980914019998611</c:v>
                </c:pt>
                <c:pt idx="70">
                  <c:v>-0.52350585775629188</c:v>
                </c:pt>
                <c:pt idx="71">
                  <c:v>0.34975141382270714</c:v>
                </c:pt>
                <c:pt idx="72">
                  <c:v>-0.9004992137756016</c:v>
                </c:pt>
                <c:pt idx="73">
                  <c:v>-0.14630837039599953</c:v>
                </c:pt>
                <c:pt idx="74">
                  <c:v>-0.61758129123817795</c:v>
                </c:pt>
                <c:pt idx="75">
                  <c:v>-0.76537100604128883</c:v>
                </c:pt>
                <c:pt idx="76">
                  <c:v>-0.30111625322261659</c:v>
                </c:pt>
                <c:pt idx="77">
                  <c:v>1.9165725623171426E-2</c:v>
                </c:pt>
                <c:pt idx="78">
                  <c:v>-0.15155336213291104</c:v>
                </c:pt>
                <c:pt idx="79">
                  <c:v>-0.5092919449866935</c:v>
                </c:pt>
                <c:pt idx="80">
                  <c:v>0.91537414294741914</c:v>
                </c:pt>
                <c:pt idx="81">
                  <c:v>-0.31257438394586234</c:v>
                </c:pt>
                <c:pt idx="82">
                  <c:v>0.28815506565676952</c:v>
                </c:pt>
                <c:pt idx="83">
                  <c:v>0.37771920310574991</c:v>
                </c:pt>
                <c:pt idx="84">
                  <c:v>1.5597398251046002E-2</c:v>
                </c:pt>
                <c:pt idx="85">
                  <c:v>8.0838734220683328E-2</c:v>
                </c:pt>
                <c:pt idx="86">
                  <c:v>0.63182762360956168</c:v>
                </c:pt>
                <c:pt idx="87">
                  <c:v>0.79984977577734817</c:v>
                </c:pt>
                <c:pt idx="88">
                  <c:v>-0.78300379665270459</c:v>
                </c:pt>
                <c:pt idx="89">
                  <c:v>0.53214701445846746</c:v>
                </c:pt>
                <c:pt idx="90">
                  <c:v>-0.281669530059383</c:v>
                </c:pt>
                <c:pt idx="91">
                  <c:v>-2.7345488093036607E-2</c:v>
                </c:pt>
                <c:pt idx="92">
                  <c:v>0.54221616740356904</c:v>
                </c:pt>
                <c:pt idx="93">
                  <c:v>-0.23296994106480184</c:v>
                </c:pt>
                <c:pt idx="94">
                  <c:v>-0.46014801621976575</c:v>
                </c:pt>
                <c:pt idx="95">
                  <c:v>-0.33006778273454351</c:v>
                </c:pt>
                <c:pt idx="96">
                  <c:v>1.0144121146780849</c:v>
                </c:pt>
                <c:pt idx="97">
                  <c:v>-1.7575893439640389E-2</c:v>
                </c:pt>
                <c:pt idx="98">
                  <c:v>-0.96265491584553153</c:v>
                </c:pt>
                <c:pt idx="99">
                  <c:v>0.20003027860422407</c:v>
                </c:pt>
                <c:pt idx="100">
                  <c:v>0.43245656656337417</c:v>
                </c:pt>
                <c:pt idx="101">
                  <c:v>-0.8578649573656989</c:v>
                </c:pt>
                <c:pt idx="102">
                  <c:v>-0.5355941253236649</c:v>
                </c:pt>
                <c:pt idx="103">
                  <c:v>-0.35898792425137049</c:v>
                </c:pt>
                <c:pt idx="104">
                  <c:v>-0.16373097067217923</c:v>
                </c:pt>
                <c:pt idx="105">
                  <c:v>0.43682461619563462</c:v>
                </c:pt>
                <c:pt idx="106">
                  <c:v>-0.51930170756749661</c:v>
                </c:pt>
                <c:pt idx="107">
                  <c:v>0.49925952369302973</c:v>
                </c:pt>
                <c:pt idx="108">
                  <c:v>-0.24711711370228873</c:v>
                </c:pt>
                <c:pt idx="109">
                  <c:v>-0.22683905817855532</c:v>
                </c:pt>
                <c:pt idx="110">
                  <c:v>0.93312688038919411</c:v>
                </c:pt>
                <c:pt idx="111">
                  <c:v>-0.7812523002408911</c:v>
                </c:pt>
                <c:pt idx="112">
                  <c:v>-0.90115922772780799</c:v>
                </c:pt>
                <c:pt idx="113">
                  <c:v>0.60639326423441275</c:v>
                </c:pt>
                <c:pt idx="114">
                  <c:v>-0.4478494502639867</c:v>
                </c:pt>
                <c:pt idx="115">
                  <c:v>0.17944255843829193</c:v>
                </c:pt>
                <c:pt idx="116">
                  <c:v>-0.34467796317722232</c:v>
                </c:pt>
                <c:pt idx="117">
                  <c:v>0.82232405434800349</c:v>
                </c:pt>
                <c:pt idx="118">
                  <c:v>-9.1714282704390193E-2</c:v>
                </c:pt>
                <c:pt idx="119">
                  <c:v>-0.60793190031857414</c:v>
                </c:pt>
                <c:pt idx="120">
                  <c:v>-0.63519935847875519</c:v>
                </c:pt>
                <c:pt idx="121">
                  <c:v>-0.54392735801854686</c:v>
                </c:pt>
                <c:pt idx="122">
                  <c:v>-0.89778768328482172</c:v>
                </c:pt>
                <c:pt idx="123">
                  <c:v>0.67806272233517184</c:v>
                </c:pt>
                <c:pt idx="124">
                  <c:v>-1.0524621800639897</c:v>
                </c:pt>
                <c:pt idx="125">
                  <c:v>0.81677356529001965</c:v>
                </c:pt>
                <c:pt idx="126">
                  <c:v>-9.2133430311491793E-3</c:v>
                </c:pt>
                <c:pt idx="127">
                  <c:v>-0.42381799330711001</c:v>
                </c:pt>
                <c:pt idx="128">
                  <c:v>0.43944557795538142</c:v>
                </c:pt>
                <c:pt idx="129">
                  <c:v>0.73164637353087336</c:v>
                </c:pt>
                <c:pt idx="130">
                  <c:v>0.76215309708592738</c:v>
                </c:pt>
                <c:pt idx="131">
                  <c:v>0.73618399345745544</c:v>
                </c:pt>
                <c:pt idx="132">
                  <c:v>0.47241024017605238</c:v>
                </c:pt>
                <c:pt idx="133">
                  <c:v>-0.65499247351642564</c:v>
                </c:pt>
                <c:pt idx="134">
                  <c:v>7.3689179136888328E-2</c:v>
                </c:pt>
                <c:pt idx="135">
                  <c:v>-0.85394909132875974</c:v>
                </c:pt>
                <c:pt idx="136">
                  <c:v>-0.54261313878004813</c:v>
                </c:pt>
                <c:pt idx="137">
                  <c:v>0.37955060485203518</c:v>
                </c:pt>
                <c:pt idx="138">
                  <c:v>0.5295300637128646</c:v>
                </c:pt>
                <c:pt idx="139">
                  <c:v>0.73025230207287173</c:v>
                </c:pt>
                <c:pt idx="140">
                  <c:v>0.70217296601044943</c:v>
                </c:pt>
                <c:pt idx="141">
                  <c:v>0.67844040010673545</c:v>
                </c:pt>
                <c:pt idx="142">
                  <c:v>-0.18779917551879866</c:v>
                </c:pt>
                <c:pt idx="143">
                  <c:v>0.29026211995546092</c:v>
                </c:pt>
                <c:pt idx="144">
                  <c:v>-0.34356675188268238</c:v>
                </c:pt>
                <c:pt idx="145">
                  <c:v>-0.45347885444158154</c:v>
                </c:pt>
                <c:pt idx="146">
                  <c:v>-0.72429842365978647</c:v>
                </c:pt>
                <c:pt idx="147">
                  <c:v>-0.86934968105896804</c:v>
                </c:pt>
                <c:pt idx="148">
                  <c:v>0.97876234329591849</c:v>
                </c:pt>
                <c:pt idx="149">
                  <c:v>1.3521284774390629E-2</c:v>
                </c:pt>
                <c:pt idx="150">
                  <c:v>-0.90924447346802717</c:v>
                </c:pt>
                <c:pt idx="151">
                  <c:v>-0.62703827344363461</c:v>
                </c:pt>
                <c:pt idx="152">
                  <c:v>-0.41831513058772885</c:v>
                </c:pt>
                <c:pt idx="153">
                  <c:v>-0.18300517836551755</c:v>
                </c:pt>
                <c:pt idx="154">
                  <c:v>-0.72350122811161643</c:v>
                </c:pt>
                <c:pt idx="155">
                  <c:v>-6.3068574153493984E-2</c:v>
                </c:pt>
                <c:pt idx="156">
                  <c:v>0.24817645221763485</c:v>
                </c:pt>
                <c:pt idx="157">
                  <c:v>0.2646212616718735</c:v>
                </c:pt>
                <c:pt idx="158">
                  <c:v>-0.54979684512267202</c:v>
                </c:pt>
                <c:pt idx="159">
                  <c:v>0.66181407622872523</c:v>
                </c:pt>
                <c:pt idx="160">
                  <c:v>-0.22877883048427883</c:v>
                </c:pt>
                <c:pt idx="161">
                  <c:v>0.69736866303703859</c:v>
                </c:pt>
                <c:pt idx="162">
                  <c:v>-0.60793340410861951</c:v>
                </c:pt>
                <c:pt idx="163">
                  <c:v>-3.6148003539004492E-2</c:v>
                </c:pt>
                <c:pt idx="164">
                  <c:v>-0.15406161432283838</c:v>
                </c:pt>
                <c:pt idx="165">
                  <c:v>1.0342816085435693</c:v>
                </c:pt>
                <c:pt idx="166">
                  <c:v>-0.75454472229887948</c:v>
                </c:pt>
                <c:pt idx="167">
                  <c:v>0.35997887610020296</c:v>
                </c:pt>
                <c:pt idx="168">
                  <c:v>0.78014652332903367</c:v>
                </c:pt>
                <c:pt idx="169">
                  <c:v>-4.2510028915414111E-2</c:v>
                </c:pt>
                <c:pt idx="170">
                  <c:v>-0.85184630343455581</c:v>
                </c:pt>
                <c:pt idx="171">
                  <c:v>0.19908920192044199</c:v>
                </c:pt>
                <c:pt idx="172">
                  <c:v>-0.55676633017987598</c:v>
                </c:pt>
                <c:pt idx="173">
                  <c:v>-0.61298725098107365</c:v>
                </c:pt>
                <c:pt idx="174">
                  <c:v>0.90963937681031126</c:v>
                </c:pt>
                <c:pt idx="175">
                  <c:v>0.8534781851569484</c:v>
                </c:pt>
                <c:pt idx="176">
                  <c:v>-0.35051317271808724</c:v>
                </c:pt>
                <c:pt idx="177">
                  <c:v>-0.32773967319498398</c:v>
                </c:pt>
                <c:pt idx="178">
                  <c:v>-0.37905615592441055</c:v>
                </c:pt>
                <c:pt idx="179">
                  <c:v>-0.2582110560231321</c:v>
                </c:pt>
                <c:pt idx="180">
                  <c:v>3.0679958621276704E-2</c:v>
                </c:pt>
                <c:pt idx="181">
                  <c:v>0.65886525961631826</c:v>
                </c:pt>
                <c:pt idx="182">
                  <c:v>0.53073719520207607</c:v>
                </c:pt>
                <c:pt idx="183">
                  <c:v>-0.72044086806997898</c:v>
                </c:pt>
                <c:pt idx="184">
                  <c:v>0.93992211277672943</c:v>
                </c:pt>
                <c:pt idx="185">
                  <c:v>0.26626016604200053</c:v>
                </c:pt>
                <c:pt idx="186">
                  <c:v>-0.18231124062429238</c:v>
                </c:pt>
                <c:pt idx="187">
                  <c:v>1.17206193431727E-2</c:v>
                </c:pt>
                <c:pt idx="188">
                  <c:v>-6.3235897131038499E-2</c:v>
                </c:pt>
                <c:pt idx="189">
                  <c:v>0.13969535033421288</c:v>
                </c:pt>
                <c:pt idx="190">
                  <c:v>-1.02375339351899</c:v>
                </c:pt>
                <c:pt idx="191">
                  <c:v>6.7321968854791692E-2</c:v>
                </c:pt>
                <c:pt idx="192">
                  <c:v>0.45199800245609367</c:v>
                </c:pt>
                <c:pt idx="193">
                  <c:v>9.8068981146078649E-2</c:v>
                </c:pt>
                <c:pt idx="194">
                  <c:v>-0.87610924613675767</c:v>
                </c:pt>
                <c:pt idx="195">
                  <c:v>0.36617687313385705</c:v>
                </c:pt>
                <c:pt idx="196">
                  <c:v>0.65700338963936211</c:v>
                </c:pt>
                <c:pt idx="197">
                  <c:v>-0.37157374198324433</c:v>
                </c:pt>
                <c:pt idx="198">
                  <c:v>0.41516698663591711</c:v>
                </c:pt>
                <c:pt idx="199">
                  <c:v>-0.58743736187539852</c:v>
                </c:pt>
                <c:pt idx="200">
                  <c:v>-0.63008289491161573</c:v>
                </c:pt>
                <c:pt idx="201">
                  <c:v>1.0728751748686252</c:v>
                </c:pt>
                <c:pt idx="202">
                  <c:v>-0.34811844808912973</c:v>
                </c:pt>
                <c:pt idx="203">
                  <c:v>-0.89072389772422955</c:v>
                </c:pt>
                <c:pt idx="204">
                  <c:v>-0.86671394705399551</c:v>
                </c:pt>
                <c:pt idx="205">
                  <c:v>2.8254252290365933E-2</c:v>
                </c:pt>
                <c:pt idx="206">
                  <c:v>-0.20684506901457578</c:v>
                </c:pt>
                <c:pt idx="207">
                  <c:v>4.8150478583797174E-2</c:v>
                </c:pt>
                <c:pt idx="208">
                  <c:v>0.60505203102404437</c:v>
                </c:pt>
                <c:pt idx="209">
                  <c:v>-0.89672124117591157</c:v>
                </c:pt>
                <c:pt idx="210">
                  <c:v>0.81787120173326677</c:v>
                </c:pt>
                <c:pt idx="211">
                  <c:v>0.24042547789848712</c:v>
                </c:pt>
                <c:pt idx="212">
                  <c:v>-0.11626889251012784</c:v>
                </c:pt>
                <c:pt idx="213">
                  <c:v>0.62829931672561745</c:v>
                </c:pt>
                <c:pt idx="214">
                  <c:v>-1.016143580973794</c:v>
                </c:pt>
                <c:pt idx="215">
                  <c:v>-0.82602056391721757</c:v>
                </c:pt>
                <c:pt idx="216">
                  <c:v>-8.6872536837800496E-2</c:v>
                </c:pt>
                <c:pt idx="217">
                  <c:v>-0.35782902339005318</c:v>
                </c:pt>
                <c:pt idx="218">
                  <c:v>0.67329915367874182</c:v>
                </c:pt>
                <c:pt idx="219">
                  <c:v>-0.34413181819544203</c:v>
                </c:pt>
                <c:pt idx="220">
                  <c:v>-0.75140585049497766</c:v>
                </c:pt>
                <c:pt idx="221">
                  <c:v>-0.33278421019964899</c:v>
                </c:pt>
                <c:pt idx="222">
                  <c:v>0.32590788780541669</c:v>
                </c:pt>
                <c:pt idx="223">
                  <c:v>-0.31819326129475289</c:v>
                </c:pt>
                <c:pt idx="224">
                  <c:v>-0.50624833624945609</c:v>
                </c:pt>
                <c:pt idx="225">
                  <c:v>0.85749528742202319</c:v>
                </c:pt>
                <c:pt idx="226">
                  <c:v>0.86287509140577612</c:v>
                </c:pt>
                <c:pt idx="227">
                  <c:v>-0.59617791699773814</c:v>
                </c:pt>
                <c:pt idx="228">
                  <c:v>-0.30461735745081331</c:v>
                </c:pt>
                <c:pt idx="229">
                  <c:v>-7.5166489116273105E-2</c:v>
                </c:pt>
                <c:pt idx="230">
                  <c:v>-4.7430155098273197E-2</c:v>
                </c:pt>
                <c:pt idx="231">
                  <c:v>0.48786303077471782</c:v>
                </c:pt>
                <c:pt idx="232">
                  <c:v>-0.34512583409795283</c:v>
                </c:pt>
                <c:pt idx="233">
                  <c:v>-0.19272139779468489</c:v>
                </c:pt>
                <c:pt idx="234">
                  <c:v>0.58353011921420261</c:v>
                </c:pt>
                <c:pt idx="235">
                  <c:v>0.75473314518962908</c:v>
                </c:pt>
                <c:pt idx="236">
                  <c:v>0.32784626373901471</c:v>
                </c:pt>
                <c:pt idx="237">
                  <c:v>0.85656150279182519</c:v>
                </c:pt>
                <c:pt idx="238">
                  <c:v>0.43648042689402367</c:v>
                </c:pt>
                <c:pt idx="239">
                  <c:v>0.33763721894233623</c:v>
                </c:pt>
                <c:pt idx="240">
                  <c:v>-0.64832429923270229</c:v>
                </c:pt>
                <c:pt idx="241">
                  <c:v>0.3795785696457914</c:v>
                </c:pt>
                <c:pt idx="242">
                  <c:v>0.9835340911361099</c:v>
                </c:pt>
                <c:pt idx="243">
                  <c:v>0.64782773502931068</c:v>
                </c:pt>
                <c:pt idx="244">
                  <c:v>-0.84323808128575362</c:v>
                </c:pt>
                <c:pt idx="245">
                  <c:v>-0.66573141410333125</c:v>
                </c:pt>
                <c:pt idx="246">
                  <c:v>-4.8526131583081167E-2</c:v>
                </c:pt>
                <c:pt idx="247">
                  <c:v>-0.84448276542089662</c:v>
                </c:pt>
                <c:pt idx="248">
                  <c:v>0.35798516389905632</c:v>
                </c:pt>
                <c:pt idx="249">
                  <c:v>-0.64099247494929035</c:v>
                </c:pt>
                <c:pt idx="250">
                  <c:v>2.1939611379693247E-3</c:v>
                </c:pt>
                <c:pt idx="251">
                  <c:v>-0.72166506809204201</c:v>
                </c:pt>
                <c:pt idx="252">
                  <c:v>-0.50811592737015143</c:v>
                </c:pt>
                <c:pt idx="253">
                  <c:v>-0.75010890993013302</c:v>
                </c:pt>
                <c:pt idx="254">
                  <c:v>-0.46828210211259513</c:v>
                </c:pt>
                <c:pt idx="255">
                  <c:v>0.614767606653702</c:v>
                </c:pt>
                <c:pt idx="256">
                  <c:v>-0.39140043944826086</c:v>
                </c:pt>
                <c:pt idx="257">
                  <c:v>0.91229060988149513</c:v>
                </c:pt>
                <c:pt idx="258">
                  <c:v>-0.9635056136408231</c:v>
                </c:pt>
                <c:pt idx="259">
                  <c:v>-0.12081557510893148</c:v>
                </c:pt>
                <c:pt idx="260">
                  <c:v>0.79755764225773529</c:v>
                </c:pt>
                <c:pt idx="261">
                  <c:v>0.87297943353199781</c:v>
                </c:pt>
                <c:pt idx="262">
                  <c:v>-0.36187656810112045</c:v>
                </c:pt>
                <c:pt idx="263">
                  <c:v>0.92222049558942931</c:v>
                </c:pt>
                <c:pt idx="264">
                  <c:v>0.68550519979135682</c:v>
                </c:pt>
                <c:pt idx="265">
                  <c:v>0.26931716395246141</c:v>
                </c:pt>
                <c:pt idx="266">
                  <c:v>-0.97110314727740388</c:v>
                </c:pt>
                <c:pt idx="267">
                  <c:v>0.622095537286806</c:v>
                </c:pt>
                <c:pt idx="268">
                  <c:v>0.13627351440728397</c:v>
                </c:pt>
                <c:pt idx="269">
                  <c:v>-0.73465297193761581</c:v>
                </c:pt>
                <c:pt idx="270">
                  <c:v>-0.92914849973259717</c:v>
                </c:pt>
                <c:pt idx="271">
                  <c:v>2.8452286174501573E-2</c:v>
                </c:pt>
                <c:pt idx="272">
                  <c:v>0.78768788542189139</c:v>
                </c:pt>
                <c:pt idx="273">
                  <c:v>1.0196872827273085</c:v>
                </c:pt>
                <c:pt idx="274">
                  <c:v>0.53201561268160447</c:v>
                </c:pt>
                <c:pt idx="275">
                  <c:v>0.81509449512404597</c:v>
                </c:pt>
                <c:pt idx="276">
                  <c:v>0.37313166566469569</c:v>
                </c:pt>
                <c:pt idx="277">
                  <c:v>0.53134765762355141</c:v>
                </c:pt>
                <c:pt idx="278">
                  <c:v>-0.92539828521649703</c:v>
                </c:pt>
                <c:pt idx="279">
                  <c:v>0.69543148975999536</c:v>
                </c:pt>
                <c:pt idx="280">
                  <c:v>0.64795294200742415</c:v>
                </c:pt>
                <c:pt idx="281">
                  <c:v>-0.27993945872290826</c:v>
                </c:pt>
                <c:pt idx="282">
                  <c:v>-0.68621201764876405</c:v>
                </c:pt>
                <c:pt idx="283">
                  <c:v>-0.26827308748519041</c:v>
                </c:pt>
                <c:pt idx="284">
                  <c:v>-0.59219487703904328</c:v>
                </c:pt>
                <c:pt idx="285">
                  <c:v>0.22526154399536047</c:v>
                </c:pt>
                <c:pt idx="286">
                  <c:v>-0.87802417536242094</c:v>
                </c:pt>
                <c:pt idx="287">
                  <c:v>0.93445062683777902</c:v>
                </c:pt>
                <c:pt idx="288">
                  <c:v>0.59614151541144</c:v>
                </c:pt>
                <c:pt idx="289">
                  <c:v>0.90945383162382853</c:v>
                </c:pt>
                <c:pt idx="290">
                  <c:v>0.6640235517770976</c:v>
                </c:pt>
                <c:pt idx="291">
                  <c:v>0.61167852486381769</c:v>
                </c:pt>
                <c:pt idx="292">
                  <c:v>0.20383531055756521</c:v>
                </c:pt>
                <c:pt idx="293">
                  <c:v>-0.48997476614205038</c:v>
                </c:pt>
                <c:pt idx="294">
                  <c:v>-9.6770131796468206E-2</c:v>
                </c:pt>
                <c:pt idx="295">
                  <c:v>-0.49285686802375039</c:v>
                </c:pt>
                <c:pt idx="296">
                  <c:v>0.94463591874373698</c:v>
                </c:pt>
                <c:pt idx="297">
                  <c:v>-0.38208093522082986</c:v>
                </c:pt>
                <c:pt idx="298">
                  <c:v>0.18115632212681199</c:v>
                </c:pt>
                <c:pt idx="299">
                  <c:v>-0.76017742032552693</c:v>
                </c:pt>
                <c:pt idx="300">
                  <c:v>-0.45556340018857799</c:v>
                </c:pt>
                <c:pt idx="301">
                  <c:v>2.2489043592566205E-2</c:v>
                </c:pt>
                <c:pt idx="302">
                  <c:v>-0.44087915504231479</c:v>
                </c:pt>
                <c:pt idx="303">
                  <c:v>0.26401233337349694</c:v>
                </c:pt>
                <c:pt idx="304">
                  <c:v>-0.32954382329114473</c:v>
                </c:pt>
                <c:pt idx="305">
                  <c:v>0.67457803636893043</c:v>
                </c:pt>
                <c:pt idx="306">
                  <c:v>0.26036843698290912</c:v>
                </c:pt>
                <c:pt idx="307">
                  <c:v>-0.44789081773441275</c:v>
                </c:pt>
                <c:pt idx="308">
                  <c:v>0.26875586846442978</c:v>
                </c:pt>
                <c:pt idx="309">
                  <c:v>0.41273059618094177</c:v>
                </c:pt>
                <c:pt idx="310">
                  <c:v>-0.20039068547730476</c:v>
                </c:pt>
                <c:pt idx="311">
                  <c:v>-0.34972138336571756</c:v>
                </c:pt>
                <c:pt idx="312">
                  <c:v>-0.78124681230677417</c:v>
                </c:pt>
                <c:pt idx="313">
                  <c:v>-0.66267002045499979</c:v>
                </c:pt>
                <c:pt idx="314">
                  <c:v>-1.0306575272855447</c:v>
                </c:pt>
                <c:pt idx="315">
                  <c:v>0.65173059366340702</c:v>
                </c:pt>
                <c:pt idx="316">
                  <c:v>0.46041814147172921</c:v>
                </c:pt>
                <c:pt idx="317">
                  <c:v>0.83959402075972633</c:v>
                </c:pt>
                <c:pt idx="318">
                  <c:v>-0.7993900495914632</c:v>
                </c:pt>
                <c:pt idx="319">
                  <c:v>1.1725387094250195E-2</c:v>
                </c:pt>
                <c:pt idx="320">
                  <c:v>0.57432437329704911</c:v>
                </c:pt>
                <c:pt idx="321">
                  <c:v>-0.31997079544790896</c:v>
                </c:pt>
                <c:pt idx="322">
                  <c:v>-0.48851941412909294</c:v>
                </c:pt>
                <c:pt idx="323">
                  <c:v>0.25755976806098602</c:v>
                </c:pt>
                <c:pt idx="324">
                  <c:v>0.19934967188598307</c:v>
                </c:pt>
                <c:pt idx="325">
                  <c:v>0.89253798600224865</c:v>
                </c:pt>
                <c:pt idx="326">
                  <c:v>5.0401114321476648E-2</c:v>
                </c:pt>
                <c:pt idx="327">
                  <c:v>-0.71920735342821196</c:v>
                </c:pt>
                <c:pt idx="328">
                  <c:v>-0.29434741615206761</c:v>
                </c:pt>
                <c:pt idx="329">
                  <c:v>-0.55792890479235702</c:v>
                </c:pt>
                <c:pt idx="330">
                  <c:v>3.4546339165430595E-2</c:v>
                </c:pt>
                <c:pt idx="331">
                  <c:v>-1.0027184136850664E-2</c:v>
                </c:pt>
                <c:pt idx="332">
                  <c:v>-0.89849246201953425</c:v>
                </c:pt>
                <c:pt idx="333">
                  <c:v>0.70041628153393276</c:v>
                </c:pt>
                <c:pt idx="334">
                  <c:v>-0.6472663180155287</c:v>
                </c:pt>
                <c:pt idx="335">
                  <c:v>0.70863144097014619</c:v>
                </c:pt>
                <c:pt idx="336">
                  <c:v>0.16465637501144847</c:v>
                </c:pt>
                <c:pt idx="337">
                  <c:v>-8.7990440254356095E-2</c:v>
                </c:pt>
                <c:pt idx="338">
                  <c:v>-0.33293684934662693</c:v>
                </c:pt>
                <c:pt idx="339">
                  <c:v>-0.78880274521394256</c:v>
                </c:pt>
                <c:pt idx="340">
                  <c:v>0.38683280204248849</c:v>
                </c:pt>
                <c:pt idx="341">
                  <c:v>-0.83188057993135178</c:v>
                </c:pt>
                <c:pt idx="342">
                  <c:v>-0.72680633480747314</c:v>
                </c:pt>
                <c:pt idx="343">
                  <c:v>-0.37004458037488863</c:v>
                </c:pt>
                <c:pt idx="344">
                  <c:v>0.80446198761614696</c:v>
                </c:pt>
                <c:pt idx="345">
                  <c:v>-0.61140369318559618</c:v>
                </c:pt>
                <c:pt idx="346">
                  <c:v>0.53257231593938226</c:v>
                </c:pt>
                <c:pt idx="347">
                  <c:v>-1.4515638922585339E-4</c:v>
                </c:pt>
                <c:pt idx="348">
                  <c:v>0.6171954757166489</c:v>
                </c:pt>
                <c:pt idx="349">
                  <c:v>-0.35509453773101907</c:v>
                </c:pt>
                <c:pt idx="350">
                  <c:v>2.4216342199156138E-2</c:v>
                </c:pt>
                <c:pt idx="351">
                  <c:v>7.5516298452743769E-2</c:v>
                </c:pt>
                <c:pt idx="352">
                  <c:v>0.45584848766438579</c:v>
                </c:pt>
                <c:pt idx="353">
                  <c:v>4.9755246515427842E-2</c:v>
                </c:pt>
                <c:pt idx="354">
                  <c:v>0.20612294060263991</c:v>
                </c:pt>
                <c:pt idx="355">
                  <c:v>0.31352889788241267</c:v>
                </c:pt>
                <c:pt idx="356">
                  <c:v>-0.54867969073320211</c:v>
                </c:pt>
                <c:pt idx="357">
                  <c:v>-0.59329339653378543</c:v>
                </c:pt>
                <c:pt idx="358">
                  <c:v>1.0980549280205469</c:v>
                </c:pt>
                <c:pt idx="359">
                  <c:v>-0.96332375522851343</c:v>
                </c:pt>
                <c:pt idx="360">
                  <c:v>0.86600081388295269</c:v>
                </c:pt>
                <c:pt idx="361">
                  <c:v>0.259458746797951</c:v>
                </c:pt>
                <c:pt idx="362">
                  <c:v>-0.28885547687672908</c:v>
                </c:pt>
                <c:pt idx="363">
                  <c:v>0.46271357518876899</c:v>
                </c:pt>
                <c:pt idx="364">
                  <c:v>-0.88793947880316448</c:v>
                </c:pt>
                <c:pt idx="365">
                  <c:v>-3.0709675272215797E-2</c:v>
                </c:pt>
                <c:pt idx="366">
                  <c:v>0.27789292910486907</c:v>
                </c:pt>
                <c:pt idx="367">
                  <c:v>0.59447248193314639</c:v>
                </c:pt>
                <c:pt idx="368">
                  <c:v>0.80983574507619593</c:v>
                </c:pt>
                <c:pt idx="369">
                  <c:v>0.14540418882421946</c:v>
                </c:pt>
                <c:pt idx="370">
                  <c:v>-0.57657378965888917</c:v>
                </c:pt>
                <c:pt idx="371">
                  <c:v>-4.4927176486943665E-2</c:v>
                </c:pt>
                <c:pt idx="372">
                  <c:v>-0.45326967003641805</c:v>
                </c:pt>
                <c:pt idx="373">
                  <c:v>-0.64981001332844546</c:v>
                </c:pt>
                <c:pt idx="374">
                  <c:v>-0.15543589833990978</c:v>
                </c:pt>
                <c:pt idx="375">
                  <c:v>0.43737352290477727</c:v>
                </c:pt>
                <c:pt idx="376">
                  <c:v>0.69251252684179754</c:v>
                </c:pt>
                <c:pt idx="377">
                  <c:v>0.6923337673118235</c:v>
                </c:pt>
                <c:pt idx="378">
                  <c:v>-0.71717495002309839</c:v>
                </c:pt>
                <c:pt idx="379">
                  <c:v>-0.16675959224596504</c:v>
                </c:pt>
                <c:pt idx="380">
                  <c:v>-0.1165968468234917</c:v>
                </c:pt>
                <c:pt idx="381">
                  <c:v>-0.18108124844906826</c:v>
                </c:pt>
                <c:pt idx="382">
                  <c:v>0.66946803663093135</c:v>
                </c:pt>
                <c:pt idx="383">
                  <c:v>0.88299986259323404</c:v>
                </c:pt>
                <c:pt idx="384">
                  <c:v>0.16966598806919464</c:v>
                </c:pt>
                <c:pt idx="385">
                  <c:v>-0.15521034460834482</c:v>
                </c:pt>
                <c:pt idx="386">
                  <c:v>0.95760754274121052</c:v>
                </c:pt>
                <c:pt idx="387">
                  <c:v>-0.40155396328518833</c:v>
                </c:pt>
                <c:pt idx="388">
                  <c:v>0.40080691525602585</c:v>
                </c:pt>
                <c:pt idx="389">
                  <c:v>-0.39813568044265679</c:v>
                </c:pt>
                <c:pt idx="390">
                  <c:v>-0.88494128319072329</c:v>
                </c:pt>
                <c:pt idx="391">
                  <c:v>-0.24696139031827702</c:v>
                </c:pt>
                <c:pt idx="392">
                  <c:v>-0.34482261798004998</c:v>
                </c:pt>
                <c:pt idx="393">
                  <c:v>0.34421655762989634</c:v>
                </c:pt>
                <c:pt idx="394">
                  <c:v>-2.386884654371535E-3</c:v>
                </c:pt>
                <c:pt idx="395">
                  <c:v>0.52388929752888558</c:v>
                </c:pt>
                <c:pt idx="396">
                  <c:v>0.70488851951338383</c:v>
                </c:pt>
                <c:pt idx="397">
                  <c:v>-2.5339785623953226E-2</c:v>
                </c:pt>
                <c:pt idx="398">
                  <c:v>-0.87768822615753006</c:v>
                </c:pt>
                <c:pt idx="399">
                  <c:v>-0.93882974482154591</c:v>
                </c:pt>
                <c:pt idx="400">
                  <c:v>0.73769244071874418</c:v>
                </c:pt>
                <c:pt idx="401">
                  <c:v>-0.54683089383651806</c:v>
                </c:pt>
                <c:pt idx="402">
                  <c:v>0.46641399276012852</c:v>
                </c:pt>
                <c:pt idx="403">
                  <c:v>0.70809734789063139</c:v>
                </c:pt>
                <c:pt idx="404">
                  <c:v>-1.0081619623694946</c:v>
                </c:pt>
                <c:pt idx="405">
                  <c:v>0.19046840237933438</c:v>
                </c:pt>
                <c:pt idx="406">
                  <c:v>0.77132537119883615</c:v>
                </c:pt>
                <c:pt idx="407">
                  <c:v>0.49656849032624173</c:v>
                </c:pt>
                <c:pt idx="408">
                  <c:v>-0.62551328403468531</c:v>
                </c:pt>
                <c:pt idx="409">
                  <c:v>0.97464968896783066</c:v>
                </c:pt>
                <c:pt idx="410">
                  <c:v>-3.1418451378288914E-2</c:v>
                </c:pt>
                <c:pt idx="411">
                  <c:v>0.51481062681524747</c:v>
                </c:pt>
                <c:pt idx="412">
                  <c:v>0.78829818082515501</c:v>
                </c:pt>
                <c:pt idx="413">
                  <c:v>0.89393810136429508</c:v>
                </c:pt>
                <c:pt idx="414">
                  <c:v>-0.77628383282331992</c:v>
                </c:pt>
                <c:pt idx="415">
                  <c:v>0.19228087282118089</c:v>
                </c:pt>
                <c:pt idx="416">
                  <c:v>0.92865983805956454</c:v>
                </c:pt>
                <c:pt idx="417">
                  <c:v>-0.84851085148389283</c:v>
                </c:pt>
                <c:pt idx="418">
                  <c:v>0.41717922178466704</c:v>
                </c:pt>
                <c:pt idx="419">
                  <c:v>4.6369188376567116E-2</c:v>
                </c:pt>
                <c:pt idx="420">
                  <c:v>0.51506551541954781</c:v>
                </c:pt>
                <c:pt idx="421">
                  <c:v>0.37372278106573553</c:v>
                </c:pt>
                <c:pt idx="422">
                  <c:v>-0.51231206898699089</c:v>
                </c:pt>
                <c:pt idx="423">
                  <c:v>0.69047379648656637</c:v>
                </c:pt>
                <c:pt idx="424">
                  <c:v>-1.1343333810237253</c:v>
                </c:pt>
                <c:pt idx="425">
                  <c:v>2.1049721518595632E-3</c:v>
                </c:pt>
                <c:pt idx="426">
                  <c:v>-0.72328618566385305</c:v>
                </c:pt>
                <c:pt idx="427">
                  <c:v>-0.28278056313532751</c:v>
                </c:pt>
                <c:pt idx="428">
                  <c:v>0.87144467778401946</c:v>
                </c:pt>
                <c:pt idx="429">
                  <c:v>-5.7289262243024552E-2</c:v>
                </c:pt>
                <c:pt idx="430">
                  <c:v>0.84008595466860125</c:v>
                </c:pt>
                <c:pt idx="431">
                  <c:v>0.77515586922075741</c:v>
                </c:pt>
                <c:pt idx="432">
                  <c:v>0.45358603863769265</c:v>
                </c:pt>
                <c:pt idx="433">
                  <c:v>0.29888628890604263</c:v>
                </c:pt>
                <c:pt idx="434">
                  <c:v>-0.1924469398913855</c:v>
                </c:pt>
                <c:pt idx="435">
                  <c:v>-0.84233669006260659</c:v>
                </c:pt>
                <c:pt idx="436">
                  <c:v>-0.96779319277758535</c:v>
                </c:pt>
                <c:pt idx="437">
                  <c:v>-0.51317253797092022</c:v>
                </c:pt>
                <c:pt idx="438">
                  <c:v>6.5584878210199982E-2</c:v>
                </c:pt>
                <c:pt idx="439">
                  <c:v>7.0180426345669567E-2</c:v>
                </c:pt>
                <c:pt idx="440">
                  <c:v>0.59193469223020756</c:v>
                </c:pt>
                <c:pt idx="441">
                  <c:v>0.24847428344482125</c:v>
                </c:pt>
                <c:pt idx="442">
                  <c:v>-0.62201039700627447</c:v>
                </c:pt>
                <c:pt idx="443">
                  <c:v>-0.13498321685831893</c:v>
                </c:pt>
                <c:pt idx="444">
                  <c:v>0.6688006873549508</c:v>
                </c:pt>
                <c:pt idx="445">
                  <c:v>0.50640083994107421</c:v>
                </c:pt>
                <c:pt idx="446">
                  <c:v>-3.0622941199982989E-2</c:v>
                </c:pt>
                <c:pt idx="447">
                  <c:v>-0.74989432316833593</c:v>
                </c:pt>
                <c:pt idx="448">
                  <c:v>4.8463125502755666E-2</c:v>
                </c:pt>
                <c:pt idx="449">
                  <c:v>-0.89883109072870937</c:v>
                </c:pt>
                <c:pt idx="450">
                  <c:v>5.1195606290083795E-2</c:v>
                </c:pt>
                <c:pt idx="451">
                  <c:v>-0.21188727929525975</c:v>
                </c:pt>
                <c:pt idx="452">
                  <c:v>-0.73236876688601527</c:v>
                </c:pt>
                <c:pt idx="453">
                  <c:v>0.66170249536204651</c:v>
                </c:pt>
                <c:pt idx="454">
                  <c:v>-0.17193363207314594</c:v>
                </c:pt>
                <c:pt idx="455">
                  <c:v>-0.73158543555105293</c:v>
                </c:pt>
                <c:pt idx="456">
                  <c:v>0.44378652182529166</c:v>
                </c:pt>
                <c:pt idx="457">
                  <c:v>0.42879851103330058</c:v>
                </c:pt>
                <c:pt idx="458">
                  <c:v>0.44385235968429804</c:v>
                </c:pt>
                <c:pt idx="459">
                  <c:v>-0.61542040807473608</c:v>
                </c:pt>
                <c:pt idx="460">
                  <c:v>9.5107265218543624E-2</c:v>
                </c:pt>
                <c:pt idx="461">
                  <c:v>-8.4384477499301447E-2</c:v>
                </c:pt>
                <c:pt idx="462">
                  <c:v>2.4369502119474085E-2</c:v>
                </c:pt>
                <c:pt idx="463">
                  <c:v>-7.303086378764867E-3</c:v>
                </c:pt>
                <c:pt idx="464">
                  <c:v>-0.37990641103555678</c:v>
                </c:pt>
                <c:pt idx="465">
                  <c:v>-0.24888135086381524</c:v>
                </c:pt>
                <c:pt idx="466">
                  <c:v>-3.5606340651072266E-2</c:v>
                </c:pt>
                <c:pt idx="467">
                  <c:v>-0.94487020285226953</c:v>
                </c:pt>
                <c:pt idx="468">
                  <c:v>0.87403541178720889</c:v>
                </c:pt>
                <c:pt idx="469">
                  <c:v>0.90418388645758885</c:v>
                </c:pt>
                <c:pt idx="470">
                  <c:v>-0.15399891764431661</c:v>
                </c:pt>
                <c:pt idx="471">
                  <c:v>0.86622031178408321</c:v>
                </c:pt>
                <c:pt idx="472">
                  <c:v>0.48943119508464772</c:v>
                </c:pt>
                <c:pt idx="473">
                  <c:v>3.7138667671868575E-2</c:v>
                </c:pt>
                <c:pt idx="474">
                  <c:v>0.23862700882117593</c:v>
                </c:pt>
                <c:pt idx="475">
                  <c:v>0.56649193832882627</c:v>
                </c:pt>
                <c:pt idx="476">
                  <c:v>0.2193906370929084</c:v>
                </c:pt>
                <c:pt idx="477">
                  <c:v>0.32312536365901057</c:v>
                </c:pt>
                <c:pt idx="478">
                  <c:v>0.62202907141108543</c:v>
                </c:pt>
                <c:pt idx="479">
                  <c:v>-0.40565807286329125</c:v>
                </c:pt>
                <c:pt idx="480">
                  <c:v>0.32081892663352995</c:v>
                </c:pt>
                <c:pt idx="481">
                  <c:v>0.4852034767182456</c:v>
                </c:pt>
                <c:pt idx="482">
                  <c:v>0.27883615864997147</c:v>
                </c:pt>
                <c:pt idx="483">
                  <c:v>-0.53014449719356893</c:v>
                </c:pt>
                <c:pt idx="484">
                  <c:v>0.35885019499641491</c:v>
                </c:pt>
                <c:pt idx="485">
                  <c:v>-0.71024907388517544</c:v>
                </c:pt>
                <c:pt idx="486">
                  <c:v>0.69812505510701772</c:v>
                </c:pt>
                <c:pt idx="487">
                  <c:v>-0.13135449955383693</c:v>
                </c:pt>
                <c:pt idx="488">
                  <c:v>-0.16921589272419801</c:v>
                </c:pt>
                <c:pt idx="489">
                  <c:v>-0.28347412763818713</c:v>
                </c:pt>
                <c:pt idx="490">
                  <c:v>0.85460384757505103</c:v>
                </c:pt>
                <c:pt idx="491">
                  <c:v>-0.38900956862867542</c:v>
                </c:pt>
                <c:pt idx="492">
                  <c:v>0.41371856515985783</c:v>
                </c:pt>
                <c:pt idx="493">
                  <c:v>0.1679715752911255</c:v>
                </c:pt>
                <c:pt idx="494">
                  <c:v>0.86218663708286947</c:v>
                </c:pt>
                <c:pt idx="495">
                  <c:v>2.6817212625716458E-2</c:v>
                </c:pt>
                <c:pt idx="496">
                  <c:v>-0.41722550766878808</c:v>
                </c:pt>
                <c:pt idx="497">
                  <c:v>0.23316628786286753</c:v>
                </c:pt>
                <c:pt idx="498">
                  <c:v>0.88746672312392771</c:v>
                </c:pt>
                <c:pt idx="499">
                  <c:v>-0.13998136111963611</c:v>
                </c:pt>
              </c:numCache>
            </c:numRef>
          </c:yVal>
          <c:smooth val="0"/>
          <c:extLst>
            <c:ext xmlns:c16="http://schemas.microsoft.com/office/drawing/2014/chart" uri="{C3380CC4-5D6E-409C-BE32-E72D297353CC}">
              <c16:uniqueId val="{00000003-1B1F-4021-9AC7-42E2FC8BFE03}"/>
            </c:ext>
          </c:extLst>
        </c:ser>
        <c:dLbls>
          <c:showLegendKey val="0"/>
          <c:showVal val="0"/>
          <c:showCatName val="0"/>
          <c:showSerName val="0"/>
          <c:showPercent val="0"/>
          <c:showBubbleSize val="0"/>
        </c:dLbls>
        <c:axId val="1779259920"/>
        <c:axId val="1551666896"/>
      </c:scatterChart>
      <c:valAx>
        <c:axId val="1779259920"/>
        <c:scaling>
          <c:orientation val="minMax"/>
        </c:scaling>
        <c:delete val="0"/>
        <c:axPos val="b"/>
        <c:title>
          <c:tx>
            <c:rich>
              <a:bodyPr/>
              <a:lstStyle/>
              <a:p>
                <a:pPr>
                  <a:defRPr/>
                </a:pPr>
                <a:r>
                  <a:rPr lang="en-IN"/>
                  <a:t>LTV</a:t>
                </a:r>
              </a:p>
            </c:rich>
          </c:tx>
          <c:overlay val="0"/>
        </c:title>
        <c:numFmt formatCode="General" sourceLinked="1"/>
        <c:majorTickMark val="out"/>
        <c:minorTickMark val="none"/>
        <c:tickLblPos val="nextTo"/>
        <c:crossAx val="1551666896"/>
        <c:crosses val="autoZero"/>
        <c:crossBetween val="midCat"/>
      </c:valAx>
      <c:valAx>
        <c:axId val="1551666896"/>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779259920"/>
        <c:crosses val="autoZero"/>
        <c:crossBetween val="midCat"/>
      </c:valAx>
    </c:plotArea>
    <c:plotVisOnly val="0"/>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DTI  Residual Plot</a:t>
            </a:r>
          </a:p>
        </c:rich>
      </c:tx>
      <c:overlay val="0"/>
    </c:title>
    <c:autoTitleDeleted val="0"/>
    <c:plotArea>
      <c:layout/>
      <c:scatterChart>
        <c:scatterStyle val="lineMarker"/>
        <c:varyColors val="0"/>
        <c:ser>
          <c:idx val="0"/>
          <c:order val="0"/>
          <c:spPr>
            <a:ln w="19050">
              <a:noFill/>
            </a:ln>
          </c:spPr>
          <c:xVal>
            <c:numRef>
              <c:f>Data!$V$8:$V$507</c:f>
              <c:numCache>
                <c:formatCode>General</c:formatCode>
                <c:ptCount val="500"/>
                <c:pt idx="0">
                  <c:v>27</c:v>
                </c:pt>
                <c:pt idx="1">
                  <c:v>17</c:v>
                </c:pt>
                <c:pt idx="2">
                  <c:v>16</c:v>
                </c:pt>
                <c:pt idx="3">
                  <c:v>14</c:v>
                </c:pt>
                <c:pt idx="4">
                  <c:v>18</c:v>
                </c:pt>
                <c:pt idx="5">
                  <c:v>40</c:v>
                </c:pt>
                <c:pt idx="6">
                  <c:v>21</c:v>
                </c:pt>
                <c:pt idx="7">
                  <c:v>20</c:v>
                </c:pt>
                <c:pt idx="8">
                  <c:v>38</c:v>
                </c:pt>
                <c:pt idx="9">
                  <c:v>27</c:v>
                </c:pt>
                <c:pt idx="10">
                  <c:v>19</c:v>
                </c:pt>
                <c:pt idx="11">
                  <c:v>18</c:v>
                </c:pt>
                <c:pt idx="12">
                  <c:v>38</c:v>
                </c:pt>
                <c:pt idx="13">
                  <c:v>19</c:v>
                </c:pt>
                <c:pt idx="14">
                  <c:v>23</c:v>
                </c:pt>
                <c:pt idx="15">
                  <c:v>45</c:v>
                </c:pt>
                <c:pt idx="16">
                  <c:v>28</c:v>
                </c:pt>
                <c:pt idx="17">
                  <c:v>27</c:v>
                </c:pt>
                <c:pt idx="18">
                  <c:v>29</c:v>
                </c:pt>
                <c:pt idx="19">
                  <c:v>15</c:v>
                </c:pt>
                <c:pt idx="20">
                  <c:v>43</c:v>
                </c:pt>
                <c:pt idx="21">
                  <c:v>29</c:v>
                </c:pt>
                <c:pt idx="22">
                  <c:v>15</c:v>
                </c:pt>
                <c:pt idx="23">
                  <c:v>25</c:v>
                </c:pt>
                <c:pt idx="24">
                  <c:v>17</c:v>
                </c:pt>
                <c:pt idx="25">
                  <c:v>16</c:v>
                </c:pt>
                <c:pt idx="26">
                  <c:v>24</c:v>
                </c:pt>
                <c:pt idx="27">
                  <c:v>43</c:v>
                </c:pt>
                <c:pt idx="28">
                  <c:v>29</c:v>
                </c:pt>
                <c:pt idx="29">
                  <c:v>28</c:v>
                </c:pt>
                <c:pt idx="30">
                  <c:v>17</c:v>
                </c:pt>
                <c:pt idx="31">
                  <c:v>45</c:v>
                </c:pt>
                <c:pt idx="32">
                  <c:v>18</c:v>
                </c:pt>
                <c:pt idx="33">
                  <c:v>26</c:v>
                </c:pt>
                <c:pt idx="34">
                  <c:v>20</c:v>
                </c:pt>
                <c:pt idx="35">
                  <c:v>40</c:v>
                </c:pt>
                <c:pt idx="36">
                  <c:v>35</c:v>
                </c:pt>
                <c:pt idx="37">
                  <c:v>29</c:v>
                </c:pt>
                <c:pt idx="38">
                  <c:v>46</c:v>
                </c:pt>
                <c:pt idx="39">
                  <c:v>24</c:v>
                </c:pt>
                <c:pt idx="40">
                  <c:v>21</c:v>
                </c:pt>
                <c:pt idx="41">
                  <c:v>18</c:v>
                </c:pt>
                <c:pt idx="42">
                  <c:v>29</c:v>
                </c:pt>
                <c:pt idx="43">
                  <c:v>39</c:v>
                </c:pt>
                <c:pt idx="44">
                  <c:v>35</c:v>
                </c:pt>
                <c:pt idx="45">
                  <c:v>33</c:v>
                </c:pt>
                <c:pt idx="46">
                  <c:v>25</c:v>
                </c:pt>
                <c:pt idx="47">
                  <c:v>38</c:v>
                </c:pt>
                <c:pt idx="48">
                  <c:v>16</c:v>
                </c:pt>
                <c:pt idx="49">
                  <c:v>24</c:v>
                </c:pt>
                <c:pt idx="50">
                  <c:v>23</c:v>
                </c:pt>
                <c:pt idx="51">
                  <c:v>48</c:v>
                </c:pt>
                <c:pt idx="52">
                  <c:v>30</c:v>
                </c:pt>
                <c:pt idx="53">
                  <c:v>31</c:v>
                </c:pt>
                <c:pt idx="54">
                  <c:v>30</c:v>
                </c:pt>
                <c:pt idx="55">
                  <c:v>15</c:v>
                </c:pt>
                <c:pt idx="56">
                  <c:v>22</c:v>
                </c:pt>
                <c:pt idx="57">
                  <c:v>20</c:v>
                </c:pt>
                <c:pt idx="58">
                  <c:v>18</c:v>
                </c:pt>
                <c:pt idx="59">
                  <c:v>17</c:v>
                </c:pt>
                <c:pt idx="60">
                  <c:v>31</c:v>
                </c:pt>
                <c:pt idx="61">
                  <c:v>56</c:v>
                </c:pt>
                <c:pt idx="62">
                  <c:v>19</c:v>
                </c:pt>
                <c:pt idx="63">
                  <c:v>38</c:v>
                </c:pt>
                <c:pt idx="64">
                  <c:v>32</c:v>
                </c:pt>
                <c:pt idx="65">
                  <c:v>28</c:v>
                </c:pt>
                <c:pt idx="66">
                  <c:v>12</c:v>
                </c:pt>
                <c:pt idx="67">
                  <c:v>39</c:v>
                </c:pt>
                <c:pt idx="68">
                  <c:v>24</c:v>
                </c:pt>
                <c:pt idx="69">
                  <c:v>6</c:v>
                </c:pt>
                <c:pt idx="70">
                  <c:v>24</c:v>
                </c:pt>
                <c:pt idx="71">
                  <c:v>31</c:v>
                </c:pt>
                <c:pt idx="72">
                  <c:v>31</c:v>
                </c:pt>
                <c:pt idx="73">
                  <c:v>37</c:v>
                </c:pt>
                <c:pt idx="74">
                  <c:v>14</c:v>
                </c:pt>
                <c:pt idx="75">
                  <c:v>36</c:v>
                </c:pt>
                <c:pt idx="76">
                  <c:v>43</c:v>
                </c:pt>
                <c:pt idx="77">
                  <c:v>22</c:v>
                </c:pt>
                <c:pt idx="78">
                  <c:v>31</c:v>
                </c:pt>
                <c:pt idx="79">
                  <c:v>42</c:v>
                </c:pt>
                <c:pt idx="80">
                  <c:v>34</c:v>
                </c:pt>
                <c:pt idx="81">
                  <c:v>31</c:v>
                </c:pt>
                <c:pt idx="82">
                  <c:v>31</c:v>
                </c:pt>
                <c:pt idx="83">
                  <c:v>33</c:v>
                </c:pt>
                <c:pt idx="84">
                  <c:v>35</c:v>
                </c:pt>
                <c:pt idx="85">
                  <c:v>38</c:v>
                </c:pt>
                <c:pt idx="86">
                  <c:v>39</c:v>
                </c:pt>
                <c:pt idx="87">
                  <c:v>21</c:v>
                </c:pt>
                <c:pt idx="88">
                  <c:v>11</c:v>
                </c:pt>
                <c:pt idx="89">
                  <c:v>34</c:v>
                </c:pt>
                <c:pt idx="90">
                  <c:v>19</c:v>
                </c:pt>
                <c:pt idx="91">
                  <c:v>25</c:v>
                </c:pt>
                <c:pt idx="92">
                  <c:v>27</c:v>
                </c:pt>
                <c:pt idx="93">
                  <c:v>39</c:v>
                </c:pt>
                <c:pt idx="94">
                  <c:v>15</c:v>
                </c:pt>
                <c:pt idx="95">
                  <c:v>39</c:v>
                </c:pt>
                <c:pt idx="96">
                  <c:v>28</c:v>
                </c:pt>
                <c:pt idx="97">
                  <c:v>35</c:v>
                </c:pt>
                <c:pt idx="98">
                  <c:v>28</c:v>
                </c:pt>
                <c:pt idx="99">
                  <c:v>11</c:v>
                </c:pt>
                <c:pt idx="100">
                  <c:v>34</c:v>
                </c:pt>
                <c:pt idx="101">
                  <c:v>29</c:v>
                </c:pt>
                <c:pt idx="102">
                  <c:v>41</c:v>
                </c:pt>
                <c:pt idx="103">
                  <c:v>28</c:v>
                </c:pt>
                <c:pt idx="104">
                  <c:v>35</c:v>
                </c:pt>
                <c:pt idx="105">
                  <c:v>32</c:v>
                </c:pt>
                <c:pt idx="106">
                  <c:v>45</c:v>
                </c:pt>
                <c:pt idx="107">
                  <c:v>14</c:v>
                </c:pt>
                <c:pt idx="108">
                  <c:v>18</c:v>
                </c:pt>
                <c:pt idx="109">
                  <c:v>41</c:v>
                </c:pt>
                <c:pt idx="110">
                  <c:v>37</c:v>
                </c:pt>
                <c:pt idx="111">
                  <c:v>20</c:v>
                </c:pt>
                <c:pt idx="112">
                  <c:v>20</c:v>
                </c:pt>
                <c:pt idx="113">
                  <c:v>28</c:v>
                </c:pt>
                <c:pt idx="114">
                  <c:v>28</c:v>
                </c:pt>
                <c:pt idx="115">
                  <c:v>45</c:v>
                </c:pt>
                <c:pt idx="116">
                  <c:v>29</c:v>
                </c:pt>
                <c:pt idx="117">
                  <c:v>37</c:v>
                </c:pt>
                <c:pt idx="118">
                  <c:v>17</c:v>
                </c:pt>
                <c:pt idx="119">
                  <c:v>37</c:v>
                </c:pt>
                <c:pt idx="120">
                  <c:v>37</c:v>
                </c:pt>
                <c:pt idx="121">
                  <c:v>23</c:v>
                </c:pt>
                <c:pt idx="122">
                  <c:v>28</c:v>
                </c:pt>
                <c:pt idx="123">
                  <c:v>33</c:v>
                </c:pt>
                <c:pt idx="124">
                  <c:v>32</c:v>
                </c:pt>
                <c:pt idx="125">
                  <c:v>39</c:v>
                </c:pt>
                <c:pt idx="126">
                  <c:v>27</c:v>
                </c:pt>
                <c:pt idx="127">
                  <c:v>29</c:v>
                </c:pt>
                <c:pt idx="128">
                  <c:v>30</c:v>
                </c:pt>
                <c:pt idx="129">
                  <c:v>25</c:v>
                </c:pt>
                <c:pt idx="130">
                  <c:v>32</c:v>
                </c:pt>
                <c:pt idx="131">
                  <c:v>8</c:v>
                </c:pt>
                <c:pt idx="132">
                  <c:v>37</c:v>
                </c:pt>
                <c:pt idx="133">
                  <c:v>30</c:v>
                </c:pt>
                <c:pt idx="134">
                  <c:v>27</c:v>
                </c:pt>
                <c:pt idx="135">
                  <c:v>44</c:v>
                </c:pt>
                <c:pt idx="136">
                  <c:v>55</c:v>
                </c:pt>
                <c:pt idx="137">
                  <c:v>20</c:v>
                </c:pt>
                <c:pt idx="138">
                  <c:v>34</c:v>
                </c:pt>
                <c:pt idx="139">
                  <c:v>20</c:v>
                </c:pt>
                <c:pt idx="140">
                  <c:v>33.443836177667201</c:v>
                </c:pt>
                <c:pt idx="141">
                  <c:v>37</c:v>
                </c:pt>
                <c:pt idx="142">
                  <c:v>39</c:v>
                </c:pt>
                <c:pt idx="143">
                  <c:v>43</c:v>
                </c:pt>
                <c:pt idx="144">
                  <c:v>38</c:v>
                </c:pt>
                <c:pt idx="145">
                  <c:v>15</c:v>
                </c:pt>
                <c:pt idx="146">
                  <c:v>28</c:v>
                </c:pt>
                <c:pt idx="147">
                  <c:v>15</c:v>
                </c:pt>
                <c:pt idx="148">
                  <c:v>16</c:v>
                </c:pt>
                <c:pt idx="149">
                  <c:v>21</c:v>
                </c:pt>
                <c:pt idx="150">
                  <c:v>24</c:v>
                </c:pt>
                <c:pt idx="151">
                  <c:v>20</c:v>
                </c:pt>
                <c:pt idx="152">
                  <c:v>24</c:v>
                </c:pt>
                <c:pt idx="153">
                  <c:v>27</c:v>
                </c:pt>
                <c:pt idx="154">
                  <c:v>31</c:v>
                </c:pt>
                <c:pt idx="155">
                  <c:v>32</c:v>
                </c:pt>
                <c:pt idx="156">
                  <c:v>36</c:v>
                </c:pt>
                <c:pt idx="157">
                  <c:v>37</c:v>
                </c:pt>
                <c:pt idx="158">
                  <c:v>39</c:v>
                </c:pt>
                <c:pt idx="159">
                  <c:v>40</c:v>
                </c:pt>
                <c:pt idx="160">
                  <c:v>42</c:v>
                </c:pt>
                <c:pt idx="161">
                  <c:v>46</c:v>
                </c:pt>
                <c:pt idx="162">
                  <c:v>22</c:v>
                </c:pt>
                <c:pt idx="163">
                  <c:v>24</c:v>
                </c:pt>
                <c:pt idx="164">
                  <c:v>35</c:v>
                </c:pt>
                <c:pt idx="165">
                  <c:v>36</c:v>
                </c:pt>
                <c:pt idx="166">
                  <c:v>36</c:v>
                </c:pt>
                <c:pt idx="167">
                  <c:v>33.443836177667201</c:v>
                </c:pt>
                <c:pt idx="168">
                  <c:v>17</c:v>
                </c:pt>
                <c:pt idx="169">
                  <c:v>22</c:v>
                </c:pt>
                <c:pt idx="170">
                  <c:v>13</c:v>
                </c:pt>
                <c:pt idx="171">
                  <c:v>53</c:v>
                </c:pt>
                <c:pt idx="172">
                  <c:v>14</c:v>
                </c:pt>
                <c:pt idx="173">
                  <c:v>10</c:v>
                </c:pt>
                <c:pt idx="174">
                  <c:v>16</c:v>
                </c:pt>
                <c:pt idx="175">
                  <c:v>33</c:v>
                </c:pt>
                <c:pt idx="176">
                  <c:v>33.443836177667201</c:v>
                </c:pt>
                <c:pt idx="177">
                  <c:v>16</c:v>
                </c:pt>
                <c:pt idx="178">
                  <c:v>19</c:v>
                </c:pt>
                <c:pt idx="179">
                  <c:v>33.443836177667201</c:v>
                </c:pt>
                <c:pt idx="180">
                  <c:v>22</c:v>
                </c:pt>
                <c:pt idx="181">
                  <c:v>30</c:v>
                </c:pt>
                <c:pt idx="182">
                  <c:v>12</c:v>
                </c:pt>
                <c:pt idx="183">
                  <c:v>16</c:v>
                </c:pt>
                <c:pt idx="184">
                  <c:v>38</c:v>
                </c:pt>
                <c:pt idx="185">
                  <c:v>40</c:v>
                </c:pt>
                <c:pt idx="186">
                  <c:v>33.443836177667201</c:v>
                </c:pt>
                <c:pt idx="187">
                  <c:v>34</c:v>
                </c:pt>
                <c:pt idx="188">
                  <c:v>30</c:v>
                </c:pt>
                <c:pt idx="189">
                  <c:v>25</c:v>
                </c:pt>
                <c:pt idx="190">
                  <c:v>33.443836177667201</c:v>
                </c:pt>
                <c:pt idx="191">
                  <c:v>13</c:v>
                </c:pt>
                <c:pt idx="192">
                  <c:v>16</c:v>
                </c:pt>
                <c:pt idx="193">
                  <c:v>32</c:v>
                </c:pt>
                <c:pt idx="194">
                  <c:v>41</c:v>
                </c:pt>
                <c:pt idx="195">
                  <c:v>33.443836177667201</c:v>
                </c:pt>
                <c:pt idx="196">
                  <c:v>33.443836177667201</c:v>
                </c:pt>
                <c:pt idx="197">
                  <c:v>9</c:v>
                </c:pt>
                <c:pt idx="198">
                  <c:v>31</c:v>
                </c:pt>
                <c:pt idx="199">
                  <c:v>29</c:v>
                </c:pt>
                <c:pt idx="200">
                  <c:v>33</c:v>
                </c:pt>
                <c:pt idx="201">
                  <c:v>14</c:v>
                </c:pt>
                <c:pt idx="202">
                  <c:v>18</c:v>
                </c:pt>
                <c:pt idx="203">
                  <c:v>23</c:v>
                </c:pt>
                <c:pt idx="204">
                  <c:v>27</c:v>
                </c:pt>
                <c:pt idx="205">
                  <c:v>20</c:v>
                </c:pt>
                <c:pt idx="206">
                  <c:v>33.443836177667201</c:v>
                </c:pt>
                <c:pt idx="207">
                  <c:v>41</c:v>
                </c:pt>
                <c:pt idx="208">
                  <c:v>9</c:v>
                </c:pt>
                <c:pt idx="209">
                  <c:v>25</c:v>
                </c:pt>
                <c:pt idx="210">
                  <c:v>41</c:v>
                </c:pt>
                <c:pt idx="211">
                  <c:v>34</c:v>
                </c:pt>
                <c:pt idx="212">
                  <c:v>33.443836177667201</c:v>
                </c:pt>
                <c:pt idx="213">
                  <c:v>33.443836177667201</c:v>
                </c:pt>
                <c:pt idx="214">
                  <c:v>27</c:v>
                </c:pt>
                <c:pt idx="215">
                  <c:v>15</c:v>
                </c:pt>
                <c:pt idx="216">
                  <c:v>25</c:v>
                </c:pt>
                <c:pt idx="217">
                  <c:v>32</c:v>
                </c:pt>
                <c:pt idx="218">
                  <c:v>33.443836177667201</c:v>
                </c:pt>
                <c:pt idx="219">
                  <c:v>35</c:v>
                </c:pt>
                <c:pt idx="220">
                  <c:v>25</c:v>
                </c:pt>
                <c:pt idx="221">
                  <c:v>19</c:v>
                </c:pt>
                <c:pt idx="222">
                  <c:v>33</c:v>
                </c:pt>
                <c:pt idx="223">
                  <c:v>37</c:v>
                </c:pt>
                <c:pt idx="224">
                  <c:v>32</c:v>
                </c:pt>
                <c:pt idx="225">
                  <c:v>32</c:v>
                </c:pt>
                <c:pt idx="226">
                  <c:v>37</c:v>
                </c:pt>
                <c:pt idx="227">
                  <c:v>24</c:v>
                </c:pt>
                <c:pt idx="228">
                  <c:v>26</c:v>
                </c:pt>
                <c:pt idx="229">
                  <c:v>37</c:v>
                </c:pt>
                <c:pt idx="230">
                  <c:v>27</c:v>
                </c:pt>
                <c:pt idx="231">
                  <c:v>23</c:v>
                </c:pt>
                <c:pt idx="232">
                  <c:v>32</c:v>
                </c:pt>
                <c:pt idx="233">
                  <c:v>26</c:v>
                </c:pt>
                <c:pt idx="234">
                  <c:v>28</c:v>
                </c:pt>
                <c:pt idx="235">
                  <c:v>26</c:v>
                </c:pt>
                <c:pt idx="236">
                  <c:v>27</c:v>
                </c:pt>
                <c:pt idx="237">
                  <c:v>38</c:v>
                </c:pt>
                <c:pt idx="238">
                  <c:v>33</c:v>
                </c:pt>
                <c:pt idx="239">
                  <c:v>28</c:v>
                </c:pt>
                <c:pt idx="240">
                  <c:v>28</c:v>
                </c:pt>
                <c:pt idx="241">
                  <c:v>26</c:v>
                </c:pt>
                <c:pt idx="242">
                  <c:v>28</c:v>
                </c:pt>
                <c:pt idx="243">
                  <c:v>27</c:v>
                </c:pt>
                <c:pt idx="244">
                  <c:v>33</c:v>
                </c:pt>
                <c:pt idx="245">
                  <c:v>20</c:v>
                </c:pt>
                <c:pt idx="246">
                  <c:v>26</c:v>
                </c:pt>
                <c:pt idx="247">
                  <c:v>33</c:v>
                </c:pt>
                <c:pt idx="248">
                  <c:v>12</c:v>
                </c:pt>
                <c:pt idx="249">
                  <c:v>26</c:v>
                </c:pt>
                <c:pt idx="250">
                  <c:v>28</c:v>
                </c:pt>
                <c:pt idx="251">
                  <c:v>30</c:v>
                </c:pt>
                <c:pt idx="252">
                  <c:v>38</c:v>
                </c:pt>
                <c:pt idx="253">
                  <c:v>35</c:v>
                </c:pt>
                <c:pt idx="254">
                  <c:v>38</c:v>
                </c:pt>
                <c:pt idx="255">
                  <c:v>29</c:v>
                </c:pt>
                <c:pt idx="256">
                  <c:v>31</c:v>
                </c:pt>
                <c:pt idx="257">
                  <c:v>40</c:v>
                </c:pt>
                <c:pt idx="258">
                  <c:v>40</c:v>
                </c:pt>
                <c:pt idx="259">
                  <c:v>31</c:v>
                </c:pt>
                <c:pt idx="260">
                  <c:v>30</c:v>
                </c:pt>
                <c:pt idx="261">
                  <c:v>42</c:v>
                </c:pt>
                <c:pt idx="262">
                  <c:v>48</c:v>
                </c:pt>
                <c:pt idx="263">
                  <c:v>21</c:v>
                </c:pt>
                <c:pt idx="264">
                  <c:v>51</c:v>
                </c:pt>
                <c:pt idx="265">
                  <c:v>27</c:v>
                </c:pt>
                <c:pt idx="266">
                  <c:v>35</c:v>
                </c:pt>
                <c:pt idx="267">
                  <c:v>26</c:v>
                </c:pt>
                <c:pt idx="268">
                  <c:v>21</c:v>
                </c:pt>
                <c:pt idx="269">
                  <c:v>31</c:v>
                </c:pt>
                <c:pt idx="270">
                  <c:v>10</c:v>
                </c:pt>
                <c:pt idx="271">
                  <c:v>33</c:v>
                </c:pt>
                <c:pt idx="272">
                  <c:v>8</c:v>
                </c:pt>
                <c:pt idx="273">
                  <c:v>26</c:v>
                </c:pt>
                <c:pt idx="274">
                  <c:v>11</c:v>
                </c:pt>
                <c:pt idx="275">
                  <c:v>23</c:v>
                </c:pt>
                <c:pt idx="276">
                  <c:v>42</c:v>
                </c:pt>
                <c:pt idx="277">
                  <c:v>28</c:v>
                </c:pt>
                <c:pt idx="278">
                  <c:v>34</c:v>
                </c:pt>
                <c:pt idx="279">
                  <c:v>33</c:v>
                </c:pt>
                <c:pt idx="280">
                  <c:v>20</c:v>
                </c:pt>
                <c:pt idx="281">
                  <c:v>21</c:v>
                </c:pt>
                <c:pt idx="282">
                  <c:v>22</c:v>
                </c:pt>
                <c:pt idx="283">
                  <c:v>22</c:v>
                </c:pt>
                <c:pt idx="284">
                  <c:v>23</c:v>
                </c:pt>
                <c:pt idx="285">
                  <c:v>38</c:v>
                </c:pt>
                <c:pt idx="286">
                  <c:v>23</c:v>
                </c:pt>
                <c:pt idx="287">
                  <c:v>22</c:v>
                </c:pt>
                <c:pt idx="288">
                  <c:v>23</c:v>
                </c:pt>
                <c:pt idx="289">
                  <c:v>19</c:v>
                </c:pt>
                <c:pt idx="290">
                  <c:v>7</c:v>
                </c:pt>
                <c:pt idx="291">
                  <c:v>22</c:v>
                </c:pt>
                <c:pt idx="292">
                  <c:v>38</c:v>
                </c:pt>
                <c:pt idx="293">
                  <c:v>34</c:v>
                </c:pt>
                <c:pt idx="294">
                  <c:v>28</c:v>
                </c:pt>
                <c:pt idx="295">
                  <c:v>29</c:v>
                </c:pt>
                <c:pt idx="296">
                  <c:v>16</c:v>
                </c:pt>
                <c:pt idx="297">
                  <c:v>30</c:v>
                </c:pt>
                <c:pt idx="298">
                  <c:v>20</c:v>
                </c:pt>
                <c:pt idx="299">
                  <c:v>39</c:v>
                </c:pt>
                <c:pt idx="300">
                  <c:v>30</c:v>
                </c:pt>
                <c:pt idx="301">
                  <c:v>11</c:v>
                </c:pt>
                <c:pt idx="302">
                  <c:v>47</c:v>
                </c:pt>
                <c:pt idx="303">
                  <c:v>12</c:v>
                </c:pt>
                <c:pt idx="304">
                  <c:v>23</c:v>
                </c:pt>
                <c:pt idx="305">
                  <c:v>44</c:v>
                </c:pt>
                <c:pt idx="306">
                  <c:v>23</c:v>
                </c:pt>
                <c:pt idx="307">
                  <c:v>9</c:v>
                </c:pt>
                <c:pt idx="308">
                  <c:v>13</c:v>
                </c:pt>
                <c:pt idx="309">
                  <c:v>29</c:v>
                </c:pt>
                <c:pt idx="310">
                  <c:v>34</c:v>
                </c:pt>
                <c:pt idx="311">
                  <c:v>23</c:v>
                </c:pt>
                <c:pt idx="312">
                  <c:v>40</c:v>
                </c:pt>
                <c:pt idx="313">
                  <c:v>35</c:v>
                </c:pt>
                <c:pt idx="314">
                  <c:v>37</c:v>
                </c:pt>
                <c:pt idx="315">
                  <c:v>42</c:v>
                </c:pt>
                <c:pt idx="316">
                  <c:v>26</c:v>
                </c:pt>
                <c:pt idx="317">
                  <c:v>47</c:v>
                </c:pt>
                <c:pt idx="318">
                  <c:v>65</c:v>
                </c:pt>
                <c:pt idx="319">
                  <c:v>22</c:v>
                </c:pt>
                <c:pt idx="320">
                  <c:v>25</c:v>
                </c:pt>
                <c:pt idx="321">
                  <c:v>33.443836177667201</c:v>
                </c:pt>
                <c:pt idx="322">
                  <c:v>54</c:v>
                </c:pt>
                <c:pt idx="323">
                  <c:v>26</c:v>
                </c:pt>
                <c:pt idx="324">
                  <c:v>38</c:v>
                </c:pt>
                <c:pt idx="325">
                  <c:v>36</c:v>
                </c:pt>
                <c:pt idx="326">
                  <c:v>36</c:v>
                </c:pt>
                <c:pt idx="327">
                  <c:v>31</c:v>
                </c:pt>
                <c:pt idx="328">
                  <c:v>33</c:v>
                </c:pt>
                <c:pt idx="329">
                  <c:v>35</c:v>
                </c:pt>
                <c:pt idx="330">
                  <c:v>42</c:v>
                </c:pt>
                <c:pt idx="331">
                  <c:v>41</c:v>
                </c:pt>
                <c:pt idx="332">
                  <c:v>22</c:v>
                </c:pt>
                <c:pt idx="333">
                  <c:v>38</c:v>
                </c:pt>
                <c:pt idx="334">
                  <c:v>42</c:v>
                </c:pt>
                <c:pt idx="335">
                  <c:v>7</c:v>
                </c:pt>
                <c:pt idx="336">
                  <c:v>24</c:v>
                </c:pt>
                <c:pt idx="337">
                  <c:v>44</c:v>
                </c:pt>
                <c:pt idx="338">
                  <c:v>43</c:v>
                </c:pt>
                <c:pt idx="339">
                  <c:v>19</c:v>
                </c:pt>
                <c:pt idx="340">
                  <c:v>21</c:v>
                </c:pt>
                <c:pt idx="341">
                  <c:v>28</c:v>
                </c:pt>
                <c:pt idx="342">
                  <c:v>26</c:v>
                </c:pt>
                <c:pt idx="343">
                  <c:v>16</c:v>
                </c:pt>
                <c:pt idx="344">
                  <c:v>28</c:v>
                </c:pt>
                <c:pt idx="345">
                  <c:v>25</c:v>
                </c:pt>
                <c:pt idx="346">
                  <c:v>27</c:v>
                </c:pt>
                <c:pt idx="347">
                  <c:v>16</c:v>
                </c:pt>
                <c:pt idx="348">
                  <c:v>21</c:v>
                </c:pt>
                <c:pt idx="349">
                  <c:v>32</c:v>
                </c:pt>
                <c:pt idx="350">
                  <c:v>31</c:v>
                </c:pt>
                <c:pt idx="351">
                  <c:v>20</c:v>
                </c:pt>
                <c:pt idx="352">
                  <c:v>23</c:v>
                </c:pt>
                <c:pt idx="353">
                  <c:v>48</c:v>
                </c:pt>
                <c:pt idx="354">
                  <c:v>38</c:v>
                </c:pt>
                <c:pt idx="355">
                  <c:v>30</c:v>
                </c:pt>
                <c:pt idx="356">
                  <c:v>2</c:v>
                </c:pt>
                <c:pt idx="357">
                  <c:v>2</c:v>
                </c:pt>
                <c:pt idx="358">
                  <c:v>2</c:v>
                </c:pt>
                <c:pt idx="359">
                  <c:v>20</c:v>
                </c:pt>
                <c:pt idx="360">
                  <c:v>34</c:v>
                </c:pt>
                <c:pt idx="361">
                  <c:v>24</c:v>
                </c:pt>
                <c:pt idx="362">
                  <c:v>33</c:v>
                </c:pt>
                <c:pt idx="363">
                  <c:v>7</c:v>
                </c:pt>
                <c:pt idx="364">
                  <c:v>26</c:v>
                </c:pt>
                <c:pt idx="365">
                  <c:v>35</c:v>
                </c:pt>
                <c:pt idx="366">
                  <c:v>42</c:v>
                </c:pt>
                <c:pt idx="367">
                  <c:v>28</c:v>
                </c:pt>
                <c:pt idx="368">
                  <c:v>34</c:v>
                </c:pt>
                <c:pt idx="369">
                  <c:v>56</c:v>
                </c:pt>
                <c:pt idx="370">
                  <c:v>12</c:v>
                </c:pt>
                <c:pt idx="371">
                  <c:v>39</c:v>
                </c:pt>
                <c:pt idx="372">
                  <c:v>24</c:v>
                </c:pt>
                <c:pt idx="373">
                  <c:v>25</c:v>
                </c:pt>
                <c:pt idx="374">
                  <c:v>33</c:v>
                </c:pt>
                <c:pt idx="375">
                  <c:v>33</c:v>
                </c:pt>
                <c:pt idx="376">
                  <c:v>38</c:v>
                </c:pt>
                <c:pt idx="377">
                  <c:v>43</c:v>
                </c:pt>
                <c:pt idx="378">
                  <c:v>53</c:v>
                </c:pt>
                <c:pt idx="379">
                  <c:v>32</c:v>
                </c:pt>
                <c:pt idx="380">
                  <c:v>15</c:v>
                </c:pt>
                <c:pt idx="381">
                  <c:v>39</c:v>
                </c:pt>
                <c:pt idx="382">
                  <c:v>35</c:v>
                </c:pt>
                <c:pt idx="383">
                  <c:v>22</c:v>
                </c:pt>
                <c:pt idx="384">
                  <c:v>41</c:v>
                </c:pt>
                <c:pt idx="385">
                  <c:v>27</c:v>
                </c:pt>
                <c:pt idx="386">
                  <c:v>22</c:v>
                </c:pt>
                <c:pt idx="387">
                  <c:v>26</c:v>
                </c:pt>
                <c:pt idx="388">
                  <c:v>26</c:v>
                </c:pt>
                <c:pt idx="389">
                  <c:v>27</c:v>
                </c:pt>
                <c:pt idx="390">
                  <c:v>28</c:v>
                </c:pt>
                <c:pt idx="391">
                  <c:v>38</c:v>
                </c:pt>
                <c:pt idx="392">
                  <c:v>18</c:v>
                </c:pt>
                <c:pt idx="393">
                  <c:v>41</c:v>
                </c:pt>
                <c:pt idx="394">
                  <c:v>15</c:v>
                </c:pt>
                <c:pt idx="395">
                  <c:v>32</c:v>
                </c:pt>
                <c:pt idx="396">
                  <c:v>22</c:v>
                </c:pt>
                <c:pt idx="397">
                  <c:v>34</c:v>
                </c:pt>
                <c:pt idx="398">
                  <c:v>41</c:v>
                </c:pt>
                <c:pt idx="399">
                  <c:v>19</c:v>
                </c:pt>
                <c:pt idx="400">
                  <c:v>15</c:v>
                </c:pt>
                <c:pt idx="401">
                  <c:v>22</c:v>
                </c:pt>
                <c:pt idx="402">
                  <c:v>28</c:v>
                </c:pt>
                <c:pt idx="403">
                  <c:v>36</c:v>
                </c:pt>
                <c:pt idx="404">
                  <c:v>56</c:v>
                </c:pt>
                <c:pt idx="405">
                  <c:v>25</c:v>
                </c:pt>
                <c:pt idx="406">
                  <c:v>37</c:v>
                </c:pt>
                <c:pt idx="407">
                  <c:v>32</c:v>
                </c:pt>
                <c:pt idx="408">
                  <c:v>55</c:v>
                </c:pt>
                <c:pt idx="409">
                  <c:v>27</c:v>
                </c:pt>
                <c:pt idx="410">
                  <c:v>45</c:v>
                </c:pt>
                <c:pt idx="411">
                  <c:v>48</c:v>
                </c:pt>
                <c:pt idx="412">
                  <c:v>10</c:v>
                </c:pt>
                <c:pt idx="413">
                  <c:v>17</c:v>
                </c:pt>
                <c:pt idx="414">
                  <c:v>29</c:v>
                </c:pt>
                <c:pt idx="415">
                  <c:v>39</c:v>
                </c:pt>
                <c:pt idx="416">
                  <c:v>29</c:v>
                </c:pt>
                <c:pt idx="417">
                  <c:v>26</c:v>
                </c:pt>
                <c:pt idx="418">
                  <c:v>32</c:v>
                </c:pt>
                <c:pt idx="419">
                  <c:v>15</c:v>
                </c:pt>
                <c:pt idx="420">
                  <c:v>39</c:v>
                </c:pt>
                <c:pt idx="421">
                  <c:v>14</c:v>
                </c:pt>
                <c:pt idx="422">
                  <c:v>33</c:v>
                </c:pt>
                <c:pt idx="423">
                  <c:v>25</c:v>
                </c:pt>
                <c:pt idx="424">
                  <c:v>20</c:v>
                </c:pt>
                <c:pt idx="425">
                  <c:v>25</c:v>
                </c:pt>
                <c:pt idx="426">
                  <c:v>11</c:v>
                </c:pt>
                <c:pt idx="427">
                  <c:v>15</c:v>
                </c:pt>
                <c:pt idx="428">
                  <c:v>29</c:v>
                </c:pt>
                <c:pt idx="429">
                  <c:v>29</c:v>
                </c:pt>
                <c:pt idx="430">
                  <c:v>31</c:v>
                </c:pt>
                <c:pt idx="431">
                  <c:v>42</c:v>
                </c:pt>
                <c:pt idx="432">
                  <c:v>44</c:v>
                </c:pt>
                <c:pt idx="433">
                  <c:v>44</c:v>
                </c:pt>
                <c:pt idx="434">
                  <c:v>33</c:v>
                </c:pt>
                <c:pt idx="435">
                  <c:v>28</c:v>
                </c:pt>
                <c:pt idx="436">
                  <c:v>56</c:v>
                </c:pt>
                <c:pt idx="437">
                  <c:v>28</c:v>
                </c:pt>
                <c:pt idx="438">
                  <c:v>31</c:v>
                </c:pt>
                <c:pt idx="439">
                  <c:v>34</c:v>
                </c:pt>
                <c:pt idx="440">
                  <c:v>36</c:v>
                </c:pt>
                <c:pt idx="441">
                  <c:v>32</c:v>
                </c:pt>
                <c:pt idx="442">
                  <c:v>12</c:v>
                </c:pt>
                <c:pt idx="443">
                  <c:v>51</c:v>
                </c:pt>
                <c:pt idx="444">
                  <c:v>39</c:v>
                </c:pt>
                <c:pt idx="445">
                  <c:v>42</c:v>
                </c:pt>
                <c:pt idx="446">
                  <c:v>17</c:v>
                </c:pt>
                <c:pt idx="447">
                  <c:v>25</c:v>
                </c:pt>
                <c:pt idx="448">
                  <c:v>57</c:v>
                </c:pt>
                <c:pt idx="449">
                  <c:v>26</c:v>
                </c:pt>
                <c:pt idx="450">
                  <c:v>39</c:v>
                </c:pt>
                <c:pt idx="451">
                  <c:v>38</c:v>
                </c:pt>
                <c:pt idx="452">
                  <c:v>13</c:v>
                </c:pt>
                <c:pt idx="453">
                  <c:v>39</c:v>
                </c:pt>
                <c:pt idx="454">
                  <c:v>37</c:v>
                </c:pt>
                <c:pt idx="455">
                  <c:v>27</c:v>
                </c:pt>
                <c:pt idx="456">
                  <c:v>19</c:v>
                </c:pt>
                <c:pt idx="457">
                  <c:v>32</c:v>
                </c:pt>
                <c:pt idx="458">
                  <c:v>40</c:v>
                </c:pt>
                <c:pt idx="459">
                  <c:v>23</c:v>
                </c:pt>
                <c:pt idx="460">
                  <c:v>20</c:v>
                </c:pt>
                <c:pt idx="461">
                  <c:v>26</c:v>
                </c:pt>
                <c:pt idx="462">
                  <c:v>33</c:v>
                </c:pt>
                <c:pt idx="463">
                  <c:v>26</c:v>
                </c:pt>
                <c:pt idx="464">
                  <c:v>16</c:v>
                </c:pt>
                <c:pt idx="465">
                  <c:v>46</c:v>
                </c:pt>
                <c:pt idx="466">
                  <c:v>27</c:v>
                </c:pt>
                <c:pt idx="467">
                  <c:v>34</c:v>
                </c:pt>
                <c:pt idx="468">
                  <c:v>40</c:v>
                </c:pt>
                <c:pt idx="469">
                  <c:v>16</c:v>
                </c:pt>
                <c:pt idx="470">
                  <c:v>35</c:v>
                </c:pt>
                <c:pt idx="471">
                  <c:v>32</c:v>
                </c:pt>
                <c:pt idx="472">
                  <c:v>26</c:v>
                </c:pt>
                <c:pt idx="473">
                  <c:v>31</c:v>
                </c:pt>
                <c:pt idx="474">
                  <c:v>37</c:v>
                </c:pt>
                <c:pt idx="475">
                  <c:v>57</c:v>
                </c:pt>
                <c:pt idx="476">
                  <c:v>5</c:v>
                </c:pt>
                <c:pt idx="477">
                  <c:v>27</c:v>
                </c:pt>
                <c:pt idx="478">
                  <c:v>45</c:v>
                </c:pt>
                <c:pt idx="479">
                  <c:v>19</c:v>
                </c:pt>
                <c:pt idx="480">
                  <c:v>25</c:v>
                </c:pt>
                <c:pt idx="481">
                  <c:v>28</c:v>
                </c:pt>
                <c:pt idx="482">
                  <c:v>38</c:v>
                </c:pt>
                <c:pt idx="483">
                  <c:v>28</c:v>
                </c:pt>
                <c:pt idx="484">
                  <c:v>33</c:v>
                </c:pt>
                <c:pt idx="485">
                  <c:v>35</c:v>
                </c:pt>
                <c:pt idx="486">
                  <c:v>14</c:v>
                </c:pt>
                <c:pt idx="487">
                  <c:v>2</c:v>
                </c:pt>
                <c:pt idx="488">
                  <c:v>2</c:v>
                </c:pt>
                <c:pt idx="489">
                  <c:v>3</c:v>
                </c:pt>
                <c:pt idx="490">
                  <c:v>3</c:v>
                </c:pt>
                <c:pt idx="491">
                  <c:v>3</c:v>
                </c:pt>
                <c:pt idx="492">
                  <c:v>57</c:v>
                </c:pt>
                <c:pt idx="493">
                  <c:v>4</c:v>
                </c:pt>
                <c:pt idx="494">
                  <c:v>3</c:v>
                </c:pt>
                <c:pt idx="495">
                  <c:v>4</c:v>
                </c:pt>
                <c:pt idx="496">
                  <c:v>35</c:v>
                </c:pt>
                <c:pt idx="497">
                  <c:v>39</c:v>
                </c:pt>
                <c:pt idx="498">
                  <c:v>40</c:v>
                </c:pt>
                <c:pt idx="499">
                  <c:v>28</c:v>
                </c:pt>
              </c:numCache>
            </c:numRef>
          </c:xVal>
          <c:yVal>
            <c:numRef>
              <c:f>'Residual plots for model'!$C$27:$C$526</c:f>
              <c:numCache>
                <c:formatCode>General</c:formatCode>
                <c:ptCount val="500"/>
                <c:pt idx="0">
                  <c:v>-0.3964562738969355</c:v>
                </c:pt>
                <c:pt idx="1">
                  <c:v>-0.27393790154508491</c:v>
                </c:pt>
                <c:pt idx="2">
                  <c:v>0.60949260145006523</c:v>
                </c:pt>
                <c:pt idx="3">
                  <c:v>0.45948395217641735</c:v>
                </c:pt>
                <c:pt idx="4">
                  <c:v>-0.55907373451610898</c:v>
                </c:pt>
                <c:pt idx="5">
                  <c:v>-0.92044284916433972</c:v>
                </c:pt>
                <c:pt idx="6">
                  <c:v>-1.1788765073149459</c:v>
                </c:pt>
                <c:pt idx="7">
                  <c:v>0.5419003852004316</c:v>
                </c:pt>
                <c:pt idx="8">
                  <c:v>-0.20479295214027626</c:v>
                </c:pt>
                <c:pt idx="9">
                  <c:v>-0.1096983592907792</c:v>
                </c:pt>
                <c:pt idx="10">
                  <c:v>-1.3286959625985695E-2</c:v>
                </c:pt>
                <c:pt idx="11">
                  <c:v>-3.716878185551753E-2</c:v>
                </c:pt>
                <c:pt idx="12">
                  <c:v>0.12819929637534511</c:v>
                </c:pt>
                <c:pt idx="13">
                  <c:v>0.49520855178198531</c:v>
                </c:pt>
                <c:pt idx="14">
                  <c:v>0.30647175688269623</c:v>
                </c:pt>
                <c:pt idx="15">
                  <c:v>-0.52566690458899501</c:v>
                </c:pt>
                <c:pt idx="16">
                  <c:v>-0.67250776068810225</c:v>
                </c:pt>
                <c:pt idx="17">
                  <c:v>-9.282629138296894E-2</c:v>
                </c:pt>
                <c:pt idx="18">
                  <c:v>-0.60672862483723478</c:v>
                </c:pt>
                <c:pt idx="19">
                  <c:v>1.2070386648997733E-2</c:v>
                </c:pt>
                <c:pt idx="20">
                  <c:v>-0.61478629882503366</c:v>
                </c:pt>
                <c:pt idx="21">
                  <c:v>-0.26216960950683887</c:v>
                </c:pt>
                <c:pt idx="22">
                  <c:v>0.31553047162589642</c:v>
                </c:pt>
                <c:pt idx="23">
                  <c:v>-0.70194160967312236</c:v>
                </c:pt>
                <c:pt idx="24">
                  <c:v>0.21185579636705576</c:v>
                </c:pt>
                <c:pt idx="25">
                  <c:v>-0.66147713303147349</c:v>
                </c:pt>
                <c:pt idx="26">
                  <c:v>-0.77520190423519963</c:v>
                </c:pt>
                <c:pt idx="27">
                  <c:v>-0.71235063039434454</c:v>
                </c:pt>
                <c:pt idx="28">
                  <c:v>0.1311314736164757</c:v>
                </c:pt>
                <c:pt idx="29">
                  <c:v>-0.87138678550163284</c:v>
                </c:pt>
                <c:pt idx="30">
                  <c:v>0.49330114977882644</c:v>
                </c:pt>
                <c:pt idx="31">
                  <c:v>-0.23180181857906845</c:v>
                </c:pt>
                <c:pt idx="32">
                  <c:v>-0.65885048514862854</c:v>
                </c:pt>
                <c:pt idx="33">
                  <c:v>-0.59754769575166478</c:v>
                </c:pt>
                <c:pt idx="34">
                  <c:v>-0.20176046280237525</c:v>
                </c:pt>
                <c:pt idx="35">
                  <c:v>0.67128625655175256</c:v>
                </c:pt>
                <c:pt idx="36">
                  <c:v>0.76711219101890915</c:v>
                </c:pt>
                <c:pt idx="37">
                  <c:v>0.93208450585996427</c:v>
                </c:pt>
                <c:pt idx="38">
                  <c:v>-0.19927669256968095</c:v>
                </c:pt>
                <c:pt idx="39">
                  <c:v>0.22137125275528824</c:v>
                </c:pt>
                <c:pt idx="40">
                  <c:v>-0.83053953464321761</c:v>
                </c:pt>
                <c:pt idx="41">
                  <c:v>1.0525433736988354</c:v>
                </c:pt>
                <c:pt idx="42">
                  <c:v>4.7039162251023114E-2</c:v>
                </c:pt>
                <c:pt idx="43">
                  <c:v>0.62551691900978224</c:v>
                </c:pt>
                <c:pt idx="44">
                  <c:v>-0.81781561179672746</c:v>
                </c:pt>
                <c:pt idx="45">
                  <c:v>0.2624679744317131</c:v>
                </c:pt>
                <c:pt idx="46">
                  <c:v>0.78540104480621942</c:v>
                </c:pt>
                <c:pt idx="47">
                  <c:v>-0.24797985989915095</c:v>
                </c:pt>
                <c:pt idx="48">
                  <c:v>-0.94443225675267195</c:v>
                </c:pt>
                <c:pt idx="49">
                  <c:v>0.87521562787198981</c:v>
                </c:pt>
                <c:pt idx="50">
                  <c:v>-0.73765551410730712</c:v>
                </c:pt>
                <c:pt idx="51">
                  <c:v>0.88041007173964125</c:v>
                </c:pt>
                <c:pt idx="52">
                  <c:v>-0.57253205619749359</c:v>
                </c:pt>
                <c:pt idx="53">
                  <c:v>0.24281326790206226</c:v>
                </c:pt>
                <c:pt idx="54">
                  <c:v>-0.43451446703322283</c:v>
                </c:pt>
                <c:pt idx="55">
                  <c:v>0.40696817726551249</c:v>
                </c:pt>
                <c:pt idx="56">
                  <c:v>0.63364857893985249</c:v>
                </c:pt>
                <c:pt idx="57">
                  <c:v>-0.64862051526897613</c:v>
                </c:pt>
                <c:pt idx="58">
                  <c:v>-0.54379179509959119</c:v>
                </c:pt>
                <c:pt idx="59">
                  <c:v>-0.19665962972312645</c:v>
                </c:pt>
                <c:pt idx="60">
                  <c:v>-0.94849898854555192</c:v>
                </c:pt>
                <c:pt idx="61">
                  <c:v>-0.26716925468601715</c:v>
                </c:pt>
                <c:pt idx="62">
                  <c:v>-0.17951034721225945</c:v>
                </c:pt>
                <c:pt idx="63">
                  <c:v>0.59027402129604667</c:v>
                </c:pt>
                <c:pt idx="64">
                  <c:v>0.62895631313574896</c:v>
                </c:pt>
                <c:pt idx="65">
                  <c:v>0.46504027590871289</c:v>
                </c:pt>
                <c:pt idx="66">
                  <c:v>0.44568831937349263</c:v>
                </c:pt>
                <c:pt idx="67">
                  <c:v>7.1808670712583123E-2</c:v>
                </c:pt>
                <c:pt idx="68">
                  <c:v>0.89995658973555948</c:v>
                </c:pt>
                <c:pt idx="69">
                  <c:v>-0.10980914019998611</c:v>
                </c:pt>
                <c:pt idx="70">
                  <c:v>-0.52350585775629188</c:v>
                </c:pt>
                <c:pt idx="71">
                  <c:v>0.34975141382270714</c:v>
                </c:pt>
                <c:pt idx="72">
                  <c:v>-0.9004992137756016</c:v>
                </c:pt>
                <c:pt idx="73">
                  <c:v>-0.14630837039599953</c:v>
                </c:pt>
                <c:pt idx="74">
                  <c:v>-0.61758129123817795</c:v>
                </c:pt>
                <c:pt idx="75">
                  <c:v>-0.76537100604128883</c:v>
                </c:pt>
                <c:pt idx="76">
                  <c:v>-0.30111625322261659</c:v>
                </c:pt>
                <c:pt idx="77">
                  <c:v>1.9165725623171426E-2</c:v>
                </c:pt>
                <c:pt idx="78">
                  <c:v>-0.15155336213291104</c:v>
                </c:pt>
                <c:pt idx="79">
                  <c:v>-0.5092919449866935</c:v>
                </c:pt>
                <c:pt idx="80">
                  <c:v>0.91537414294741914</c:v>
                </c:pt>
                <c:pt idx="81">
                  <c:v>-0.31257438394586234</c:v>
                </c:pt>
                <c:pt idx="82">
                  <c:v>0.28815506565676952</c:v>
                </c:pt>
                <c:pt idx="83">
                  <c:v>0.37771920310574991</c:v>
                </c:pt>
                <c:pt idx="84">
                  <c:v>1.5597398251046002E-2</c:v>
                </c:pt>
                <c:pt idx="85">
                  <c:v>8.0838734220683328E-2</c:v>
                </c:pt>
                <c:pt idx="86">
                  <c:v>0.63182762360956168</c:v>
                </c:pt>
                <c:pt idx="87">
                  <c:v>0.79984977577734817</c:v>
                </c:pt>
                <c:pt idx="88">
                  <c:v>-0.78300379665270459</c:v>
                </c:pt>
                <c:pt idx="89">
                  <c:v>0.53214701445846746</c:v>
                </c:pt>
                <c:pt idx="90">
                  <c:v>-0.281669530059383</c:v>
                </c:pt>
                <c:pt idx="91">
                  <c:v>-2.7345488093036607E-2</c:v>
                </c:pt>
                <c:pt idx="92">
                  <c:v>0.54221616740356904</c:v>
                </c:pt>
                <c:pt idx="93">
                  <c:v>-0.23296994106480184</c:v>
                </c:pt>
                <c:pt idx="94">
                  <c:v>-0.46014801621976575</c:v>
                </c:pt>
                <c:pt idx="95">
                  <c:v>-0.33006778273454351</c:v>
                </c:pt>
                <c:pt idx="96">
                  <c:v>1.0144121146780849</c:v>
                </c:pt>
                <c:pt idx="97">
                  <c:v>-1.7575893439640389E-2</c:v>
                </c:pt>
                <c:pt idx="98">
                  <c:v>-0.96265491584553153</c:v>
                </c:pt>
                <c:pt idx="99">
                  <c:v>0.20003027860422407</c:v>
                </c:pt>
                <c:pt idx="100">
                  <c:v>0.43245656656337417</c:v>
                </c:pt>
                <c:pt idx="101">
                  <c:v>-0.8578649573656989</c:v>
                </c:pt>
                <c:pt idx="102">
                  <c:v>-0.5355941253236649</c:v>
                </c:pt>
                <c:pt idx="103">
                  <c:v>-0.35898792425137049</c:v>
                </c:pt>
                <c:pt idx="104">
                  <c:v>-0.16373097067217923</c:v>
                </c:pt>
                <c:pt idx="105">
                  <c:v>0.43682461619563462</c:v>
                </c:pt>
                <c:pt idx="106">
                  <c:v>-0.51930170756749661</c:v>
                </c:pt>
                <c:pt idx="107">
                  <c:v>0.49925952369302973</c:v>
                </c:pt>
                <c:pt idx="108">
                  <c:v>-0.24711711370228873</c:v>
                </c:pt>
                <c:pt idx="109">
                  <c:v>-0.22683905817855532</c:v>
                </c:pt>
                <c:pt idx="110">
                  <c:v>0.93312688038919411</c:v>
                </c:pt>
                <c:pt idx="111">
                  <c:v>-0.7812523002408911</c:v>
                </c:pt>
                <c:pt idx="112">
                  <c:v>-0.90115922772780799</c:v>
                </c:pt>
                <c:pt idx="113">
                  <c:v>0.60639326423441275</c:v>
                </c:pt>
                <c:pt idx="114">
                  <c:v>-0.4478494502639867</c:v>
                </c:pt>
                <c:pt idx="115">
                  <c:v>0.17944255843829193</c:v>
                </c:pt>
                <c:pt idx="116">
                  <c:v>-0.34467796317722232</c:v>
                </c:pt>
                <c:pt idx="117">
                  <c:v>0.82232405434800349</c:v>
                </c:pt>
                <c:pt idx="118">
                  <c:v>-9.1714282704390193E-2</c:v>
                </c:pt>
                <c:pt idx="119">
                  <c:v>-0.60793190031857414</c:v>
                </c:pt>
                <c:pt idx="120">
                  <c:v>-0.63519935847875519</c:v>
                </c:pt>
                <c:pt idx="121">
                  <c:v>-0.54392735801854686</c:v>
                </c:pt>
                <c:pt idx="122">
                  <c:v>-0.89778768328482172</c:v>
                </c:pt>
                <c:pt idx="123">
                  <c:v>0.67806272233517184</c:v>
                </c:pt>
                <c:pt idx="124">
                  <c:v>-1.0524621800639897</c:v>
                </c:pt>
                <c:pt idx="125">
                  <c:v>0.81677356529001965</c:v>
                </c:pt>
                <c:pt idx="126">
                  <c:v>-9.2133430311491793E-3</c:v>
                </c:pt>
                <c:pt idx="127">
                  <c:v>-0.42381799330711001</c:v>
                </c:pt>
                <c:pt idx="128">
                  <c:v>0.43944557795538142</c:v>
                </c:pt>
                <c:pt idx="129">
                  <c:v>0.73164637353087336</c:v>
                </c:pt>
                <c:pt idx="130">
                  <c:v>0.76215309708592738</c:v>
                </c:pt>
                <c:pt idx="131">
                  <c:v>0.73618399345745544</c:v>
                </c:pt>
                <c:pt idx="132">
                  <c:v>0.47241024017605238</c:v>
                </c:pt>
                <c:pt idx="133">
                  <c:v>-0.65499247351642564</c:v>
                </c:pt>
                <c:pt idx="134">
                  <c:v>7.3689179136888328E-2</c:v>
                </c:pt>
                <c:pt idx="135">
                  <c:v>-0.85394909132875974</c:v>
                </c:pt>
                <c:pt idx="136">
                  <c:v>-0.54261313878004813</c:v>
                </c:pt>
                <c:pt idx="137">
                  <c:v>0.37955060485203518</c:v>
                </c:pt>
                <c:pt idx="138">
                  <c:v>0.5295300637128646</c:v>
                </c:pt>
                <c:pt idx="139">
                  <c:v>0.73025230207287173</c:v>
                </c:pt>
                <c:pt idx="140">
                  <c:v>0.70217296601044943</c:v>
                </c:pt>
                <c:pt idx="141">
                  <c:v>0.67844040010673545</c:v>
                </c:pt>
                <c:pt idx="142">
                  <c:v>-0.18779917551879866</c:v>
                </c:pt>
                <c:pt idx="143">
                  <c:v>0.29026211995546092</c:v>
                </c:pt>
                <c:pt idx="144">
                  <c:v>-0.34356675188268238</c:v>
                </c:pt>
                <c:pt idx="145">
                  <c:v>-0.45347885444158154</c:v>
                </c:pt>
                <c:pt idx="146">
                  <c:v>-0.72429842365978647</c:v>
                </c:pt>
                <c:pt idx="147">
                  <c:v>-0.86934968105896804</c:v>
                </c:pt>
                <c:pt idx="148">
                  <c:v>0.97876234329591849</c:v>
                </c:pt>
                <c:pt idx="149">
                  <c:v>1.3521284774390629E-2</c:v>
                </c:pt>
                <c:pt idx="150">
                  <c:v>-0.90924447346802717</c:v>
                </c:pt>
                <c:pt idx="151">
                  <c:v>-0.62703827344363461</c:v>
                </c:pt>
                <c:pt idx="152">
                  <c:v>-0.41831513058772885</c:v>
                </c:pt>
                <c:pt idx="153">
                  <c:v>-0.18300517836551755</c:v>
                </c:pt>
                <c:pt idx="154">
                  <c:v>-0.72350122811161643</c:v>
                </c:pt>
                <c:pt idx="155">
                  <c:v>-6.3068574153493984E-2</c:v>
                </c:pt>
                <c:pt idx="156">
                  <c:v>0.24817645221763485</c:v>
                </c:pt>
                <c:pt idx="157">
                  <c:v>0.2646212616718735</c:v>
                </c:pt>
                <c:pt idx="158">
                  <c:v>-0.54979684512267202</c:v>
                </c:pt>
                <c:pt idx="159">
                  <c:v>0.66181407622872523</c:v>
                </c:pt>
                <c:pt idx="160">
                  <c:v>-0.22877883048427883</c:v>
                </c:pt>
                <c:pt idx="161">
                  <c:v>0.69736866303703859</c:v>
                </c:pt>
                <c:pt idx="162">
                  <c:v>-0.60793340410861951</c:v>
                </c:pt>
                <c:pt idx="163">
                  <c:v>-3.6148003539004492E-2</c:v>
                </c:pt>
                <c:pt idx="164">
                  <c:v>-0.15406161432283838</c:v>
                </c:pt>
                <c:pt idx="165">
                  <c:v>1.0342816085435693</c:v>
                </c:pt>
                <c:pt idx="166">
                  <c:v>-0.75454472229887948</c:v>
                </c:pt>
                <c:pt idx="167">
                  <c:v>0.35997887610020296</c:v>
                </c:pt>
                <c:pt idx="168">
                  <c:v>0.78014652332903367</c:v>
                </c:pt>
                <c:pt idx="169">
                  <c:v>-4.2510028915414111E-2</c:v>
                </c:pt>
                <c:pt idx="170">
                  <c:v>-0.85184630343455581</c:v>
                </c:pt>
                <c:pt idx="171">
                  <c:v>0.19908920192044199</c:v>
                </c:pt>
                <c:pt idx="172">
                  <c:v>-0.55676633017987598</c:v>
                </c:pt>
                <c:pt idx="173">
                  <c:v>-0.61298725098107365</c:v>
                </c:pt>
                <c:pt idx="174">
                  <c:v>0.90963937681031126</c:v>
                </c:pt>
                <c:pt idx="175">
                  <c:v>0.8534781851569484</c:v>
                </c:pt>
                <c:pt idx="176">
                  <c:v>-0.35051317271808724</c:v>
                </c:pt>
                <c:pt idx="177">
                  <c:v>-0.32773967319498398</c:v>
                </c:pt>
                <c:pt idx="178">
                  <c:v>-0.37905615592441055</c:v>
                </c:pt>
                <c:pt idx="179">
                  <c:v>-0.2582110560231321</c:v>
                </c:pt>
                <c:pt idx="180">
                  <c:v>3.0679958621276704E-2</c:v>
                </c:pt>
                <c:pt idx="181">
                  <c:v>0.65886525961631826</c:v>
                </c:pt>
                <c:pt idx="182">
                  <c:v>0.53073719520207607</c:v>
                </c:pt>
                <c:pt idx="183">
                  <c:v>-0.72044086806997898</c:v>
                </c:pt>
                <c:pt idx="184">
                  <c:v>0.93992211277672943</c:v>
                </c:pt>
                <c:pt idx="185">
                  <c:v>0.26626016604200053</c:v>
                </c:pt>
                <c:pt idx="186">
                  <c:v>-0.18231124062429238</c:v>
                </c:pt>
                <c:pt idx="187">
                  <c:v>1.17206193431727E-2</c:v>
                </c:pt>
                <c:pt idx="188">
                  <c:v>-6.3235897131038499E-2</c:v>
                </c:pt>
                <c:pt idx="189">
                  <c:v>0.13969535033421288</c:v>
                </c:pt>
                <c:pt idx="190">
                  <c:v>-1.02375339351899</c:v>
                </c:pt>
                <c:pt idx="191">
                  <c:v>6.7321968854791692E-2</c:v>
                </c:pt>
                <c:pt idx="192">
                  <c:v>0.45199800245609367</c:v>
                </c:pt>
                <c:pt idx="193">
                  <c:v>9.8068981146078649E-2</c:v>
                </c:pt>
                <c:pt idx="194">
                  <c:v>-0.87610924613675767</c:v>
                </c:pt>
                <c:pt idx="195">
                  <c:v>0.36617687313385705</c:v>
                </c:pt>
                <c:pt idx="196">
                  <c:v>0.65700338963936211</c:v>
                </c:pt>
                <c:pt idx="197">
                  <c:v>-0.37157374198324433</c:v>
                </c:pt>
                <c:pt idx="198">
                  <c:v>0.41516698663591711</c:v>
                </c:pt>
                <c:pt idx="199">
                  <c:v>-0.58743736187539852</c:v>
                </c:pt>
                <c:pt idx="200">
                  <c:v>-0.63008289491161573</c:v>
                </c:pt>
                <c:pt idx="201">
                  <c:v>1.0728751748686252</c:v>
                </c:pt>
                <c:pt idx="202">
                  <c:v>-0.34811844808912973</c:v>
                </c:pt>
                <c:pt idx="203">
                  <c:v>-0.89072389772422955</c:v>
                </c:pt>
                <c:pt idx="204">
                  <c:v>-0.86671394705399551</c:v>
                </c:pt>
                <c:pt idx="205">
                  <c:v>2.8254252290365933E-2</c:v>
                </c:pt>
                <c:pt idx="206">
                  <c:v>-0.20684506901457578</c:v>
                </c:pt>
                <c:pt idx="207">
                  <c:v>4.8150478583797174E-2</c:v>
                </c:pt>
                <c:pt idx="208">
                  <c:v>0.60505203102404437</c:v>
                </c:pt>
                <c:pt idx="209">
                  <c:v>-0.89672124117591157</c:v>
                </c:pt>
                <c:pt idx="210">
                  <c:v>0.81787120173326677</c:v>
                </c:pt>
                <c:pt idx="211">
                  <c:v>0.24042547789848712</c:v>
                </c:pt>
                <c:pt idx="212">
                  <c:v>-0.11626889251012784</c:v>
                </c:pt>
                <c:pt idx="213">
                  <c:v>0.62829931672561745</c:v>
                </c:pt>
                <c:pt idx="214">
                  <c:v>-1.016143580973794</c:v>
                </c:pt>
                <c:pt idx="215">
                  <c:v>-0.82602056391721757</c:v>
                </c:pt>
                <c:pt idx="216">
                  <c:v>-8.6872536837800496E-2</c:v>
                </c:pt>
                <c:pt idx="217">
                  <c:v>-0.35782902339005318</c:v>
                </c:pt>
                <c:pt idx="218">
                  <c:v>0.67329915367874182</c:v>
                </c:pt>
                <c:pt idx="219">
                  <c:v>-0.34413181819544203</c:v>
                </c:pt>
                <c:pt idx="220">
                  <c:v>-0.75140585049497766</c:v>
                </c:pt>
                <c:pt idx="221">
                  <c:v>-0.33278421019964899</c:v>
                </c:pt>
                <c:pt idx="222">
                  <c:v>0.32590788780541669</c:v>
                </c:pt>
                <c:pt idx="223">
                  <c:v>-0.31819326129475289</c:v>
                </c:pt>
                <c:pt idx="224">
                  <c:v>-0.50624833624945609</c:v>
                </c:pt>
                <c:pt idx="225">
                  <c:v>0.85749528742202319</c:v>
                </c:pt>
                <c:pt idx="226">
                  <c:v>0.86287509140577612</c:v>
                </c:pt>
                <c:pt idx="227">
                  <c:v>-0.59617791699773814</c:v>
                </c:pt>
                <c:pt idx="228">
                  <c:v>-0.30461735745081331</c:v>
                </c:pt>
                <c:pt idx="229">
                  <c:v>-7.5166489116273105E-2</c:v>
                </c:pt>
                <c:pt idx="230">
                  <c:v>-4.7430155098273197E-2</c:v>
                </c:pt>
                <c:pt idx="231">
                  <c:v>0.48786303077471782</c:v>
                </c:pt>
                <c:pt idx="232">
                  <c:v>-0.34512583409795283</c:v>
                </c:pt>
                <c:pt idx="233">
                  <c:v>-0.19272139779468489</c:v>
                </c:pt>
                <c:pt idx="234">
                  <c:v>0.58353011921420261</c:v>
                </c:pt>
                <c:pt idx="235">
                  <c:v>0.75473314518962908</c:v>
                </c:pt>
                <c:pt idx="236">
                  <c:v>0.32784626373901471</c:v>
                </c:pt>
                <c:pt idx="237">
                  <c:v>0.85656150279182519</c:v>
                </c:pt>
                <c:pt idx="238">
                  <c:v>0.43648042689402367</c:v>
                </c:pt>
                <c:pt idx="239">
                  <c:v>0.33763721894233623</c:v>
                </c:pt>
                <c:pt idx="240">
                  <c:v>-0.64832429923270229</c:v>
                </c:pt>
                <c:pt idx="241">
                  <c:v>0.3795785696457914</c:v>
                </c:pt>
                <c:pt idx="242">
                  <c:v>0.9835340911361099</c:v>
                </c:pt>
                <c:pt idx="243">
                  <c:v>0.64782773502931068</c:v>
                </c:pt>
                <c:pt idx="244">
                  <c:v>-0.84323808128575362</c:v>
                </c:pt>
                <c:pt idx="245">
                  <c:v>-0.66573141410333125</c:v>
                </c:pt>
                <c:pt idx="246">
                  <c:v>-4.8526131583081167E-2</c:v>
                </c:pt>
                <c:pt idx="247">
                  <c:v>-0.84448276542089662</c:v>
                </c:pt>
                <c:pt idx="248">
                  <c:v>0.35798516389905632</c:v>
                </c:pt>
                <c:pt idx="249">
                  <c:v>-0.64099247494929035</c:v>
                </c:pt>
                <c:pt idx="250">
                  <c:v>2.1939611379693247E-3</c:v>
                </c:pt>
                <c:pt idx="251">
                  <c:v>-0.72166506809204201</c:v>
                </c:pt>
                <c:pt idx="252">
                  <c:v>-0.50811592737015143</c:v>
                </c:pt>
                <c:pt idx="253">
                  <c:v>-0.75010890993013302</c:v>
                </c:pt>
                <c:pt idx="254">
                  <c:v>-0.46828210211259513</c:v>
                </c:pt>
                <c:pt idx="255">
                  <c:v>0.614767606653702</c:v>
                </c:pt>
                <c:pt idx="256">
                  <c:v>-0.39140043944826086</c:v>
                </c:pt>
                <c:pt idx="257">
                  <c:v>0.91229060988149513</c:v>
                </c:pt>
                <c:pt idx="258">
                  <c:v>-0.9635056136408231</c:v>
                </c:pt>
                <c:pt idx="259">
                  <c:v>-0.12081557510893148</c:v>
                </c:pt>
                <c:pt idx="260">
                  <c:v>0.79755764225773529</c:v>
                </c:pt>
                <c:pt idx="261">
                  <c:v>0.87297943353199781</c:v>
                </c:pt>
                <c:pt idx="262">
                  <c:v>-0.36187656810112045</c:v>
                </c:pt>
                <c:pt idx="263">
                  <c:v>0.92222049558942931</c:v>
                </c:pt>
                <c:pt idx="264">
                  <c:v>0.68550519979135682</c:v>
                </c:pt>
                <c:pt idx="265">
                  <c:v>0.26931716395246141</c:v>
                </c:pt>
                <c:pt idx="266">
                  <c:v>-0.97110314727740388</c:v>
                </c:pt>
                <c:pt idx="267">
                  <c:v>0.622095537286806</c:v>
                </c:pt>
                <c:pt idx="268">
                  <c:v>0.13627351440728397</c:v>
                </c:pt>
                <c:pt idx="269">
                  <c:v>-0.73465297193761581</c:v>
                </c:pt>
                <c:pt idx="270">
                  <c:v>-0.92914849973259717</c:v>
                </c:pt>
                <c:pt idx="271">
                  <c:v>2.8452286174501573E-2</c:v>
                </c:pt>
                <c:pt idx="272">
                  <c:v>0.78768788542189139</c:v>
                </c:pt>
                <c:pt idx="273">
                  <c:v>1.0196872827273085</c:v>
                </c:pt>
                <c:pt idx="274">
                  <c:v>0.53201561268160447</c:v>
                </c:pt>
                <c:pt idx="275">
                  <c:v>0.81509449512404597</c:v>
                </c:pt>
                <c:pt idx="276">
                  <c:v>0.37313166566469569</c:v>
                </c:pt>
                <c:pt idx="277">
                  <c:v>0.53134765762355141</c:v>
                </c:pt>
                <c:pt idx="278">
                  <c:v>-0.92539828521649703</c:v>
                </c:pt>
                <c:pt idx="279">
                  <c:v>0.69543148975999536</c:v>
                </c:pt>
                <c:pt idx="280">
                  <c:v>0.64795294200742415</c:v>
                </c:pt>
                <c:pt idx="281">
                  <c:v>-0.27993945872290826</c:v>
                </c:pt>
                <c:pt idx="282">
                  <c:v>-0.68621201764876405</c:v>
                </c:pt>
                <c:pt idx="283">
                  <c:v>-0.26827308748519041</c:v>
                </c:pt>
                <c:pt idx="284">
                  <c:v>-0.59219487703904328</c:v>
                </c:pt>
                <c:pt idx="285">
                  <c:v>0.22526154399536047</c:v>
                </c:pt>
                <c:pt idx="286">
                  <c:v>-0.87802417536242094</c:v>
                </c:pt>
                <c:pt idx="287">
                  <c:v>0.93445062683777902</c:v>
                </c:pt>
                <c:pt idx="288">
                  <c:v>0.59614151541144</c:v>
                </c:pt>
                <c:pt idx="289">
                  <c:v>0.90945383162382853</c:v>
                </c:pt>
                <c:pt idx="290">
                  <c:v>0.6640235517770976</c:v>
                </c:pt>
                <c:pt idx="291">
                  <c:v>0.61167852486381769</c:v>
                </c:pt>
                <c:pt idx="292">
                  <c:v>0.20383531055756521</c:v>
                </c:pt>
                <c:pt idx="293">
                  <c:v>-0.48997476614205038</c:v>
                </c:pt>
                <c:pt idx="294">
                  <c:v>-9.6770131796468206E-2</c:v>
                </c:pt>
                <c:pt idx="295">
                  <c:v>-0.49285686802375039</c:v>
                </c:pt>
                <c:pt idx="296">
                  <c:v>0.94463591874373698</c:v>
                </c:pt>
                <c:pt idx="297">
                  <c:v>-0.38208093522082986</c:v>
                </c:pt>
                <c:pt idx="298">
                  <c:v>0.18115632212681199</c:v>
                </c:pt>
                <c:pt idx="299">
                  <c:v>-0.76017742032552693</c:v>
                </c:pt>
                <c:pt idx="300">
                  <c:v>-0.45556340018857799</c:v>
                </c:pt>
                <c:pt idx="301">
                  <c:v>2.2489043592566205E-2</c:v>
                </c:pt>
                <c:pt idx="302">
                  <c:v>-0.44087915504231479</c:v>
                </c:pt>
                <c:pt idx="303">
                  <c:v>0.26401233337349694</c:v>
                </c:pt>
                <c:pt idx="304">
                  <c:v>-0.32954382329114473</c:v>
                </c:pt>
                <c:pt idx="305">
                  <c:v>0.67457803636893043</c:v>
                </c:pt>
                <c:pt idx="306">
                  <c:v>0.26036843698290912</c:v>
                </c:pt>
                <c:pt idx="307">
                  <c:v>-0.44789081773441275</c:v>
                </c:pt>
                <c:pt idx="308">
                  <c:v>0.26875586846442978</c:v>
                </c:pt>
                <c:pt idx="309">
                  <c:v>0.41273059618094177</c:v>
                </c:pt>
                <c:pt idx="310">
                  <c:v>-0.20039068547730476</c:v>
                </c:pt>
                <c:pt idx="311">
                  <c:v>-0.34972138336571756</c:v>
                </c:pt>
                <c:pt idx="312">
                  <c:v>-0.78124681230677417</c:v>
                </c:pt>
                <c:pt idx="313">
                  <c:v>-0.66267002045499979</c:v>
                </c:pt>
                <c:pt idx="314">
                  <c:v>-1.0306575272855447</c:v>
                </c:pt>
                <c:pt idx="315">
                  <c:v>0.65173059366340702</c:v>
                </c:pt>
                <c:pt idx="316">
                  <c:v>0.46041814147172921</c:v>
                </c:pt>
                <c:pt idx="317">
                  <c:v>0.83959402075972633</c:v>
                </c:pt>
                <c:pt idx="318">
                  <c:v>-0.7993900495914632</c:v>
                </c:pt>
                <c:pt idx="319">
                  <c:v>1.1725387094250195E-2</c:v>
                </c:pt>
                <c:pt idx="320">
                  <c:v>0.57432437329704911</c:v>
                </c:pt>
                <c:pt idx="321">
                  <c:v>-0.31997079544790896</c:v>
                </c:pt>
                <c:pt idx="322">
                  <c:v>-0.48851941412909294</c:v>
                </c:pt>
                <c:pt idx="323">
                  <c:v>0.25755976806098602</c:v>
                </c:pt>
                <c:pt idx="324">
                  <c:v>0.19934967188598307</c:v>
                </c:pt>
                <c:pt idx="325">
                  <c:v>0.89253798600224865</c:v>
                </c:pt>
                <c:pt idx="326">
                  <c:v>5.0401114321476648E-2</c:v>
                </c:pt>
                <c:pt idx="327">
                  <c:v>-0.71920735342821196</c:v>
                </c:pt>
                <c:pt idx="328">
                  <c:v>-0.29434741615206761</c:v>
                </c:pt>
                <c:pt idx="329">
                  <c:v>-0.55792890479235702</c:v>
                </c:pt>
                <c:pt idx="330">
                  <c:v>3.4546339165430595E-2</c:v>
                </c:pt>
                <c:pt idx="331">
                  <c:v>-1.0027184136850664E-2</c:v>
                </c:pt>
                <c:pt idx="332">
                  <c:v>-0.89849246201953425</c:v>
                </c:pt>
                <c:pt idx="333">
                  <c:v>0.70041628153393276</c:v>
                </c:pt>
                <c:pt idx="334">
                  <c:v>-0.6472663180155287</c:v>
                </c:pt>
                <c:pt idx="335">
                  <c:v>0.70863144097014619</c:v>
                </c:pt>
                <c:pt idx="336">
                  <c:v>0.16465637501144847</c:v>
                </c:pt>
                <c:pt idx="337">
                  <c:v>-8.7990440254356095E-2</c:v>
                </c:pt>
                <c:pt idx="338">
                  <c:v>-0.33293684934662693</c:v>
                </c:pt>
                <c:pt idx="339">
                  <c:v>-0.78880274521394256</c:v>
                </c:pt>
                <c:pt idx="340">
                  <c:v>0.38683280204248849</c:v>
                </c:pt>
                <c:pt idx="341">
                  <c:v>-0.83188057993135178</c:v>
                </c:pt>
                <c:pt idx="342">
                  <c:v>-0.72680633480747314</c:v>
                </c:pt>
                <c:pt idx="343">
                  <c:v>-0.37004458037488863</c:v>
                </c:pt>
                <c:pt idx="344">
                  <c:v>0.80446198761614696</c:v>
                </c:pt>
                <c:pt idx="345">
                  <c:v>-0.61140369318559618</c:v>
                </c:pt>
                <c:pt idx="346">
                  <c:v>0.53257231593938226</c:v>
                </c:pt>
                <c:pt idx="347">
                  <c:v>-1.4515638922585339E-4</c:v>
                </c:pt>
                <c:pt idx="348">
                  <c:v>0.6171954757166489</c:v>
                </c:pt>
                <c:pt idx="349">
                  <c:v>-0.35509453773101907</c:v>
                </c:pt>
                <c:pt idx="350">
                  <c:v>2.4216342199156138E-2</c:v>
                </c:pt>
                <c:pt idx="351">
                  <c:v>7.5516298452743769E-2</c:v>
                </c:pt>
                <c:pt idx="352">
                  <c:v>0.45584848766438579</c:v>
                </c:pt>
                <c:pt idx="353">
                  <c:v>4.9755246515427842E-2</c:v>
                </c:pt>
                <c:pt idx="354">
                  <c:v>0.20612294060263991</c:v>
                </c:pt>
                <c:pt idx="355">
                  <c:v>0.31352889788241267</c:v>
                </c:pt>
                <c:pt idx="356">
                  <c:v>-0.54867969073320211</c:v>
                </c:pt>
                <c:pt idx="357">
                  <c:v>-0.59329339653378543</c:v>
                </c:pt>
                <c:pt idx="358">
                  <c:v>1.0980549280205469</c:v>
                </c:pt>
                <c:pt idx="359">
                  <c:v>-0.96332375522851343</c:v>
                </c:pt>
                <c:pt idx="360">
                  <c:v>0.86600081388295269</c:v>
                </c:pt>
                <c:pt idx="361">
                  <c:v>0.259458746797951</c:v>
                </c:pt>
                <c:pt idx="362">
                  <c:v>-0.28885547687672908</c:v>
                </c:pt>
                <c:pt idx="363">
                  <c:v>0.46271357518876899</c:v>
                </c:pt>
                <c:pt idx="364">
                  <c:v>-0.88793947880316448</c:v>
                </c:pt>
                <c:pt idx="365">
                  <c:v>-3.0709675272215797E-2</c:v>
                </c:pt>
                <c:pt idx="366">
                  <c:v>0.27789292910486907</c:v>
                </c:pt>
                <c:pt idx="367">
                  <c:v>0.59447248193314639</c:v>
                </c:pt>
                <c:pt idx="368">
                  <c:v>0.80983574507619593</c:v>
                </c:pt>
                <c:pt idx="369">
                  <c:v>0.14540418882421946</c:v>
                </c:pt>
                <c:pt idx="370">
                  <c:v>-0.57657378965888917</c:v>
                </c:pt>
                <c:pt idx="371">
                  <c:v>-4.4927176486943665E-2</c:v>
                </c:pt>
                <c:pt idx="372">
                  <c:v>-0.45326967003641805</c:v>
                </c:pt>
                <c:pt idx="373">
                  <c:v>-0.64981001332844546</c:v>
                </c:pt>
                <c:pt idx="374">
                  <c:v>-0.15543589833990978</c:v>
                </c:pt>
                <c:pt idx="375">
                  <c:v>0.43737352290477727</c:v>
                </c:pt>
                <c:pt idx="376">
                  <c:v>0.69251252684179754</c:v>
                </c:pt>
                <c:pt idx="377">
                  <c:v>0.6923337673118235</c:v>
                </c:pt>
                <c:pt idx="378">
                  <c:v>-0.71717495002309839</c:v>
                </c:pt>
                <c:pt idx="379">
                  <c:v>-0.16675959224596504</c:v>
                </c:pt>
                <c:pt idx="380">
                  <c:v>-0.1165968468234917</c:v>
                </c:pt>
                <c:pt idx="381">
                  <c:v>-0.18108124844906826</c:v>
                </c:pt>
                <c:pt idx="382">
                  <c:v>0.66946803663093135</c:v>
                </c:pt>
                <c:pt idx="383">
                  <c:v>0.88299986259323404</c:v>
                </c:pt>
                <c:pt idx="384">
                  <c:v>0.16966598806919464</c:v>
                </c:pt>
                <c:pt idx="385">
                  <c:v>-0.15521034460834482</c:v>
                </c:pt>
                <c:pt idx="386">
                  <c:v>0.95760754274121052</c:v>
                </c:pt>
                <c:pt idx="387">
                  <c:v>-0.40155396328518833</c:v>
                </c:pt>
                <c:pt idx="388">
                  <c:v>0.40080691525602585</c:v>
                </c:pt>
                <c:pt idx="389">
                  <c:v>-0.39813568044265679</c:v>
                </c:pt>
                <c:pt idx="390">
                  <c:v>-0.88494128319072329</c:v>
                </c:pt>
                <c:pt idx="391">
                  <c:v>-0.24696139031827702</c:v>
                </c:pt>
                <c:pt idx="392">
                  <c:v>-0.34482261798004998</c:v>
                </c:pt>
                <c:pt idx="393">
                  <c:v>0.34421655762989634</c:v>
                </c:pt>
                <c:pt idx="394">
                  <c:v>-2.386884654371535E-3</c:v>
                </c:pt>
                <c:pt idx="395">
                  <c:v>0.52388929752888558</c:v>
                </c:pt>
                <c:pt idx="396">
                  <c:v>0.70488851951338383</c:v>
                </c:pt>
                <c:pt idx="397">
                  <c:v>-2.5339785623953226E-2</c:v>
                </c:pt>
                <c:pt idx="398">
                  <c:v>-0.87768822615753006</c:v>
                </c:pt>
                <c:pt idx="399">
                  <c:v>-0.93882974482154591</c:v>
                </c:pt>
                <c:pt idx="400">
                  <c:v>0.73769244071874418</c:v>
                </c:pt>
                <c:pt idx="401">
                  <c:v>-0.54683089383651806</c:v>
                </c:pt>
                <c:pt idx="402">
                  <c:v>0.46641399276012852</c:v>
                </c:pt>
                <c:pt idx="403">
                  <c:v>0.70809734789063139</c:v>
                </c:pt>
                <c:pt idx="404">
                  <c:v>-1.0081619623694946</c:v>
                </c:pt>
                <c:pt idx="405">
                  <c:v>0.19046840237933438</c:v>
                </c:pt>
                <c:pt idx="406">
                  <c:v>0.77132537119883615</c:v>
                </c:pt>
                <c:pt idx="407">
                  <c:v>0.49656849032624173</c:v>
                </c:pt>
                <c:pt idx="408">
                  <c:v>-0.62551328403468531</c:v>
                </c:pt>
                <c:pt idx="409">
                  <c:v>0.97464968896783066</c:v>
                </c:pt>
                <c:pt idx="410">
                  <c:v>-3.1418451378288914E-2</c:v>
                </c:pt>
                <c:pt idx="411">
                  <c:v>0.51481062681524747</c:v>
                </c:pt>
                <c:pt idx="412">
                  <c:v>0.78829818082515501</c:v>
                </c:pt>
                <c:pt idx="413">
                  <c:v>0.89393810136429508</c:v>
                </c:pt>
                <c:pt idx="414">
                  <c:v>-0.77628383282331992</c:v>
                </c:pt>
                <c:pt idx="415">
                  <c:v>0.19228087282118089</c:v>
                </c:pt>
                <c:pt idx="416">
                  <c:v>0.92865983805956454</c:v>
                </c:pt>
                <c:pt idx="417">
                  <c:v>-0.84851085148389283</c:v>
                </c:pt>
                <c:pt idx="418">
                  <c:v>0.41717922178466704</c:v>
                </c:pt>
                <c:pt idx="419">
                  <c:v>4.6369188376567116E-2</c:v>
                </c:pt>
                <c:pt idx="420">
                  <c:v>0.51506551541954781</c:v>
                </c:pt>
                <c:pt idx="421">
                  <c:v>0.37372278106573553</c:v>
                </c:pt>
                <c:pt idx="422">
                  <c:v>-0.51231206898699089</c:v>
                </c:pt>
                <c:pt idx="423">
                  <c:v>0.69047379648656637</c:v>
                </c:pt>
                <c:pt idx="424">
                  <c:v>-1.1343333810237253</c:v>
                </c:pt>
                <c:pt idx="425">
                  <c:v>2.1049721518595632E-3</c:v>
                </c:pt>
                <c:pt idx="426">
                  <c:v>-0.72328618566385305</c:v>
                </c:pt>
                <c:pt idx="427">
                  <c:v>-0.28278056313532751</c:v>
                </c:pt>
                <c:pt idx="428">
                  <c:v>0.87144467778401946</c:v>
                </c:pt>
                <c:pt idx="429">
                  <c:v>-5.7289262243024552E-2</c:v>
                </c:pt>
                <c:pt idx="430">
                  <c:v>0.84008595466860125</c:v>
                </c:pt>
                <c:pt idx="431">
                  <c:v>0.77515586922075741</c:v>
                </c:pt>
                <c:pt idx="432">
                  <c:v>0.45358603863769265</c:v>
                </c:pt>
                <c:pt idx="433">
                  <c:v>0.29888628890604263</c:v>
                </c:pt>
                <c:pt idx="434">
                  <c:v>-0.1924469398913855</c:v>
                </c:pt>
                <c:pt idx="435">
                  <c:v>-0.84233669006260659</c:v>
                </c:pt>
                <c:pt idx="436">
                  <c:v>-0.96779319277758535</c:v>
                </c:pt>
                <c:pt idx="437">
                  <c:v>-0.51317253797092022</c:v>
                </c:pt>
                <c:pt idx="438">
                  <c:v>6.5584878210199982E-2</c:v>
                </c:pt>
                <c:pt idx="439">
                  <c:v>7.0180426345669567E-2</c:v>
                </c:pt>
                <c:pt idx="440">
                  <c:v>0.59193469223020756</c:v>
                </c:pt>
                <c:pt idx="441">
                  <c:v>0.24847428344482125</c:v>
                </c:pt>
                <c:pt idx="442">
                  <c:v>-0.62201039700627447</c:v>
                </c:pt>
                <c:pt idx="443">
                  <c:v>-0.13498321685831893</c:v>
                </c:pt>
                <c:pt idx="444">
                  <c:v>0.6688006873549508</c:v>
                </c:pt>
                <c:pt idx="445">
                  <c:v>0.50640083994107421</c:v>
                </c:pt>
                <c:pt idx="446">
                  <c:v>-3.0622941199982989E-2</c:v>
                </c:pt>
                <c:pt idx="447">
                  <c:v>-0.74989432316833593</c:v>
                </c:pt>
                <c:pt idx="448">
                  <c:v>4.8463125502755666E-2</c:v>
                </c:pt>
                <c:pt idx="449">
                  <c:v>-0.89883109072870937</c:v>
                </c:pt>
                <c:pt idx="450">
                  <c:v>5.1195606290083795E-2</c:v>
                </c:pt>
                <c:pt idx="451">
                  <c:v>-0.21188727929525975</c:v>
                </c:pt>
                <c:pt idx="452">
                  <c:v>-0.73236876688601527</c:v>
                </c:pt>
                <c:pt idx="453">
                  <c:v>0.66170249536204651</c:v>
                </c:pt>
                <c:pt idx="454">
                  <c:v>-0.17193363207314594</c:v>
                </c:pt>
                <c:pt idx="455">
                  <c:v>-0.73158543555105293</c:v>
                </c:pt>
                <c:pt idx="456">
                  <c:v>0.44378652182529166</c:v>
                </c:pt>
                <c:pt idx="457">
                  <c:v>0.42879851103330058</c:v>
                </c:pt>
                <c:pt idx="458">
                  <c:v>0.44385235968429804</c:v>
                </c:pt>
                <c:pt idx="459">
                  <c:v>-0.61542040807473608</c:v>
                </c:pt>
                <c:pt idx="460">
                  <c:v>9.5107265218543624E-2</c:v>
                </c:pt>
                <c:pt idx="461">
                  <c:v>-8.4384477499301447E-2</c:v>
                </c:pt>
                <c:pt idx="462">
                  <c:v>2.4369502119474085E-2</c:v>
                </c:pt>
                <c:pt idx="463">
                  <c:v>-7.303086378764867E-3</c:v>
                </c:pt>
                <c:pt idx="464">
                  <c:v>-0.37990641103555678</c:v>
                </c:pt>
                <c:pt idx="465">
                  <c:v>-0.24888135086381524</c:v>
                </c:pt>
                <c:pt idx="466">
                  <c:v>-3.5606340651072266E-2</c:v>
                </c:pt>
                <c:pt idx="467">
                  <c:v>-0.94487020285226953</c:v>
                </c:pt>
                <c:pt idx="468">
                  <c:v>0.87403541178720889</c:v>
                </c:pt>
                <c:pt idx="469">
                  <c:v>0.90418388645758885</c:v>
                </c:pt>
                <c:pt idx="470">
                  <c:v>-0.15399891764431661</c:v>
                </c:pt>
                <c:pt idx="471">
                  <c:v>0.86622031178408321</c:v>
                </c:pt>
                <c:pt idx="472">
                  <c:v>0.48943119508464772</c:v>
                </c:pt>
                <c:pt idx="473">
                  <c:v>3.7138667671868575E-2</c:v>
                </c:pt>
                <c:pt idx="474">
                  <c:v>0.23862700882117593</c:v>
                </c:pt>
                <c:pt idx="475">
                  <c:v>0.56649193832882627</c:v>
                </c:pt>
                <c:pt idx="476">
                  <c:v>0.2193906370929084</c:v>
                </c:pt>
                <c:pt idx="477">
                  <c:v>0.32312536365901057</c:v>
                </c:pt>
                <c:pt idx="478">
                  <c:v>0.62202907141108543</c:v>
                </c:pt>
                <c:pt idx="479">
                  <c:v>-0.40565807286329125</c:v>
                </c:pt>
                <c:pt idx="480">
                  <c:v>0.32081892663352995</c:v>
                </c:pt>
                <c:pt idx="481">
                  <c:v>0.4852034767182456</c:v>
                </c:pt>
                <c:pt idx="482">
                  <c:v>0.27883615864997147</c:v>
                </c:pt>
                <c:pt idx="483">
                  <c:v>-0.53014449719356893</c:v>
                </c:pt>
                <c:pt idx="484">
                  <c:v>0.35885019499641491</c:v>
                </c:pt>
                <c:pt idx="485">
                  <c:v>-0.71024907388517544</c:v>
                </c:pt>
                <c:pt idx="486">
                  <c:v>0.69812505510701772</c:v>
                </c:pt>
                <c:pt idx="487">
                  <c:v>-0.13135449955383693</c:v>
                </c:pt>
                <c:pt idx="488">
                  <c:v>-0.16921589272419801</c:v>
                </c:pt>
                <c:pt idx="489">
                  <c:v>-0.28347412763818713</c:v>
                </c:pt>
                <c:pt idx="490">
                  <c:v>0.85460384757505103</c:v>
                </c:pt>
                <c:pt idx="491">
                  <c:v>-0.38900956862867542</c:v>
                </c:pt>
                <c:pt idx="492">
                  <c:v>0.41371856515985783</c:v>
                </c:pt>
                <c:pt idx="493">
                  <c:v>0.1679715752911255</c:v>
                </c:pt>
                <c:pt idx="494">
                  <c:v>0.86218663708286947</c:v>
                </c:pt>
                <c:pt idx="495">
                  <c:v>2.6817212625716458E-2</c:v>
                </c:pt>
                <c:pt idx="496">
                  <c:v>-0.41722550766878808</c:v>
                </c:pt>
                <c:pt idx="497">
                  <c:v>0.23316628786286753</c:v>
                </c:pt>
                <c:pt idx="498">
                  <c:v>0.88746672312392771</c:v>
                </c:pt>
                <c:pt idx="499">
                  <c:v>-0.13998136111963611</c:v>
                </c:pt>
              </c:numCache>
            </c:numRef>
          </c:yVal>
          <c:smooth val="0"/>
          <c:extLst>
            <c:ext xmlns:c16="http://schemas.microsoft.com/office/drawing/2014/chart" uri="{C3380CC4-5D6E-409C-BE32-E72D297353CC}">
              <c16:uniqueId val="{00000003-9299-43E7-92BD-DEA19D30E372}"/>
            </c:ext>
          </c:extLst>
        </c:ser>
        <c:dLbls>
          <c:showLegendKey val="0"/>
          <c:showVal val="0"/>
          <c:showCatName val="0"/>
          <c:showSerName val="0"/>
          <c:showPercent val="0"/>
          <c:showBubbleSize val="0"/>
        </c:dLbls>
        <c:axId val="1779219088"/>
        <c:axId val="1551601136"/>
      </c:scatterChart>
      <c:valAx>
        <c:axId val="1779219088"/>
        <c:scaling>
          <c:orientation val="minMax"/>
        </c:scaling>
        <c:delete val="0"/>
        <c:axPos val="b"/>
        <c:title>
          <c:tx>
            <c:rich>
              <a:bodyPr/>
              <a:lstStyle/>
              <a:p>
                <a:pPr>
                  <a:defRPr/>
                </a:pPr>
                <a:r>
                  <a:rPr lang="en-IN"/>
                  <a:t>DTI</a:t>
                </a:r>
              </a:p>
            </c:rich>
          </c:tx>
          <c:overlay val="0"/>
        </c:title>
        <c:numFmt formatCode="General" sourceLinked="1"/>
        <c:majorTickMark val="out"/>
        <c:minorTickMark val="none"/>
        <c:tickLblPos val="nextTo"/>
        <c:crossAx val="1551601136"/>
        <c:crosses val="autoZero"/>
        <c:crossBetween val="midCat"/>
      </c:valAx>
      <c:valAx>
        <c:axId val="1551601136"/>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779219088"/>
        <c:crosses val="autoZero"/>
        <c:crossBetween val="midCat"/>
      </c:valAx>
    </c:plotArea>
    <c:plotVisOnly val="0"/>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First Time Buyer? (1=Yes, 0=No)  Residual Plot</a:t>
            </a:r>
          </a:p>
        </c:rich>
      </c:tx>
      <c:overlay val="0"/>
    </c:title>
    <c:autoTitleDeleted val="0"/>
    <c:plotArea>
      <c:layout/>
      <c:scatterChart>
        <c:scatterStyle val="lineMarker"/>
        <c:varyColors val="0"/>
        <c:ser>
          <c:idx val="0"/>
          <c:order val="0"/>
          <c:spPr>
            <a:ln w="19050">
              <a:noFill/>
            </a:ln>
          </c:spPr>
          <c:xVal>
            <c:numRef>
              <c:f>Data!$W$8:$W$507</c:f>
              <c:numCache>
                <c:formatCode>General</c:formatCode>
                <c:ptCount val="500"/>
                <c:pt idx="0">
                  <c:v>0</c:v>
                </c:pt>
                <c:pt idx="1">
                  <c:v>0</c:v>
                </c:pt>
                <c:pt idx="2">
                  <c:v>0</c:v>
                </c:pt>
                <c:pt idx="3">
                  <c:v>0</c:v>
                </c:pt>
                <c:pt idx="4">
                  <c:v>1</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c:v>
                </c:pt>
                <c:pt idx="28">
                  <c:v>0</c:v>
                </c:pt>
                <c:pt idx="29">
                  <c:v>0</c:v>
                </c:pt>
                <c:pt idx="30">
                  <c:v>1</c:v>
                </c:pt>
                <c:pt idx="31">
                  <c:v>0</c:v>
                </c:pt>
                <c:pt idx="32">
                  <c:v>0</c:v>
                </c:pt>
                <c:pt idx="33">
                  <c:v>1</c:v>
                </c:pt>
                <c:pt idx="34">
                  <c:v>0</c:v>
                </c:pt>
                <c:pt idx="35">
                  <c:v>0</c:v>
                </c:pt>
                <c:pt idx="36">
                  <c:v>0</c:v>
                </c:pt>
                <c:pt idx="37">
                  <c:v>0</c:v>
                </c:pt>
                <c:pt idx="38">
                  <c:v>0</c:v>
                </c:pt>
                <c:pt idx="39">
                  <c:v>0</c:v>
                </c:pt>
                <c:pt idx="40">
                  <c:v>0</c:v>
                </c:pt>
                <c:pt idx="41">
                  <c:v>0</c:v>
                </c:pt>
                <c:pt idx="42">
                  <c:v>0</c:v>
                </c:pt>
                <c:pt idx="43">
                  <c:v>0</c:v>
                </c:pt>
                <c:pt idx="44">
                  <c:v>1</c:v>
                </c:pt>
                <c:pt idx="45">
                  <c:v>0</c:v>
                </c:pt>
                <c:pt idx="46">
                  <c:v>0</c:v>
                </c:pt>
                <c:pt idx="47">
                  <c:v>0</c:v>
                </c:pt>
                <c:pt idx="48">
                  <c:v>0</c:v>
                </c:pt>
                <c:pt idx="49">
                  <c:v>1</c:v>
                </c:pt>
                <c:pt idx="50">
                  <c:v>0</c:v>
                </c:pt>
                <c:pt idx="51">
                  <c:v>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1</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1</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1</c:v>
                </c:pt>
                <c:pt idx="121">
                  <c:v>0</c:v>
                </c:pt>
                <c:pt idx="122">
                  <c:v>0</c:v>
                </c:pt>
                <c:pt idx="123">
                  <c:v>0</c:v>
                </c:pt>
                <c:pt idx="124">
                  <c:v>0</c:v>
                </c:pt>
                <c:pt idx="125">
                  <c:v>1</c:v>
                </c:pt>
                <c:pt idx="126">
                  <c:v>0</c:v>
                </c:pt>
                <c:pt idx="127">
                  <c:v>0</c:v>
                </c:pt>
                <c:pt idx="128">
                  <c:v>0</c:v>
                </c:pt>
                <c:pt idx="129">
                  <c:v>1</c:v>
                </c:pt>
                <c:pt idx="130">
                  <c:v>0</c:v>
                </c:pt>
                <c:pt idx="131">
                  <c:v>1</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1</c:v>
                </c:pt>
                <c:pt idx="154">
                  <c:v>0</c:v>
                </c:pt>
                <c:pt idx="155">
                  <c:v>0</c:v>
                </c:pt>
                <c:pt idx="156">
                  <c:v>0</c:v>
                </c:pt>
                <c:pt idx="157">
                  <c:v>0</c:v>
                </c:pt>
                <c:pt idx="158">
                  <c:v>0</c:v>
                </c:pt>
                <c:pt idx="159">
                  <c:v>0</c:v>
                </c:pt>
                <c:pt idx="160">
                  <c:v>0</c:v>
                </c:pt>
                <c:pt idx="161">
                  <c:v>0</c:v>
                </c:pt>
                <c:pt idx="162">
                  <c:v>0</c:v>
                </c:pt>
                <c:pt idx="163">
                  <c:v>0</c:v>
                </c:pt>
                <c:pt idx="164">
                  <c:v>0</c:v>
                </c:pt>
                <c:pt idx="165">
                  <c:v>0</c:v>
                </c:pt>
                <c:pt idx="166">
                  <c:v>1</c:v>
                </c:pt>
                <c:pt idx="167">
                  <c:v>0</c:v>
                </c:pt>
                <c:pt idx="168">
                  <c:v>0</c:v>
                </c:pt>
                <c:pt idx="169">
                  <c:v>0</c:v>
                </c:pt>
                <c:pt idx="170">
                  <c:v>0</c:v>
                </c:pt>
                <c:pt idx="171">
                  <c:v>0</c:v>
                </c:pt>
                <c:pt idx="172">
                  <c:v>1</c:v>
                </c:pt>
                <c:pt idx="173">
                  <c:v>0</c:v>
                </c:pt>
                <c:pt idx="174">
                  <c:v>0</c:v>
                </c:pt>
                <c:pt idx="175">
                  <c:v>1</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1</c:v>
                </c:pt>
                <c:pt idx="207">
                  <c:v>0</c:v>
                </c:pt>
                <c:pt idx="208">
                  <c:v>0</c:v>
                </c:pt>
                <c:pt idx="209">
                  <c:v>0</c:v>
                </c:pt>
                <c:pt idx="210">
                  <c:v>0</c:v>
                </c:pt>
                <c:pt idx="211">
                  <c:v>1</c:v>
                </c:pt>
                <c:pt idx="212">
                  <c:v>0</c:v>
                </c:pt>
                <c:pt idx="213">
                  <c:v>0</c:v>
                </c:pt>
                <c:pt idx="214">
                  <c:v>0</c:v>
                </c:pt>
                <c:pt idx="215">
                  <c:v>0</c:v>
                </c:pt>
                <c:pt idx="216">
                  <c:v>0</c:v>
                </c:pt>
                <c:pt idx="217">
                  <c:v>0</c:v>
                </c:pt>
                <c:pt idx="218">
                  <c:v>0</c:v>
                </c:pt>
                <c:pt idx="219">
                  <c:v>0</c:v>
                </c:pt>
                <c:pt idx="220">
                  <c:v>0</c:v>
                </c:pt>
                <c:pt idx="221">
                  <c:v>0</c:v>
                </c:pt>
                <c:pt idx="222">
                  <c:v>0</c:v>
                </c:pt>
                <c:pt idx="223">
                  <c:v>0</c:v>
                </c:pt>
                <c:pt idx="224">
                  <c:v>1</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1</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1</c:v>
                </c:pt>
                <c:pt idx="276">
                  <c:v>0</c:v>
                </c:pt>
                <c:pt idx="277">
                  <c:v>0</c:v>
                </c:pt>
                <c:pt idx="278">
                  <c:v>0</c:v>
                </c:pt>
                <c:pt idx="279">
                  <c:v>1</c:v>
                </c:pt>
                <c:pt idx="280">
                  <c:v>0</c:v>
                </c:pt>
                <c:pt idx="281">
                  <c:v>0</c:v>
                </c:pt>
                <c:pt idx="282">
                  <c:v>0</c:v>
                </c:pt>
                <c:pt idx="283">
                  <c:v>0</c:v>
                </c:pt>
                <c:pt idx="284">
                  <c:v>1</c:v>
                </c:pt>
                <c:pt idx="285">
                  <c:v>0</c:v>
                </c:pt>
                <c:pt idx="286">
                  <c:v>0</c:v>
                </c:pt>
                <c:pt idx="287">
                  <c:v>0</c:v>
                </c:pt>
                <c:pt idx="288">
                  <c:v>0</c:v>
                </c:pt>
                <c:pt idx="289">
                  <c:v>0</c:v>
                </c:pt>
                <c:pt idx="290">
                  <c:v>0</c:v>
                </c:pt>
                <c:pt idx="291">
                  <c:v>1</c:v>
                </c:pt>
                <c:pt idx="292">
                  <c:v>0</c:v>
                </c:pt>
                <c:pt idx="293">
                  <c:v>0</c:v>
                </c:pt>
                <c:pt idx="294">
                  <c:v>0</c:v>
                </c:pt>
                <c:pt idx="295">
                  <c:v>0</c:v>
                </c:pt>
                <c:pt idx="296">
                  <c:v>1</c:v>
                </c:pt>
                <c:pt idx="297">
                  <c:v>0</c:v>
                </c:pt>
                <c:pt idx="298">
                  <c:v>0</c:v>
                </c:pt>
                <c:pt idx="299">
                  <c:v>1</c:v>
                </c:pt>
                <c:pt idx="300">
                  <c:v>0</c:v>
                </c:pt>
                <c:pt idx="301">
                  <c:v>0</c:v>
                </c:pt>
                <c:pt idx="302">
                  <c:v>0</c:v>
                </c:pt>
                <c:pt idx="303">
                  <c:v>0</c:v>
                </c:pt>
                <c:pt idx="304">
                  <c:v>0</c:v>
                </c:pt>
                <c:pt idx="305">
                  <c:v>1</c:v>
                </c:pt>
                <c:pt idx="306">
                  <c:v>0</c:v>
                </c:pt>
                <c:pt idx="307">
                  <c:v>0</c:v>
                </c:pt>
                <c:pt idx="308">
                  <c:v>0</c:v>
                </c:pt>
                <c:pt idx="309">
                  <c:v>0</c:v>
                </c:pt>
                <c:pt idx="310">
                  <c:v>0</c:v>
                </c:pt>
                <c:pt idx="311">
                  <c:v>0</c:v>
                </c:pt>
                <c:pt idx="312">
                  <c:v>0</c:v>
                </c:pt>
                <c:pt idx="313">
                  <c:v>0</c:v>
                </c:pt>
                <c:pt idx="314">
                  <c:v>1</c:v>
                </c:pt>
                <c:pt idx="315">
                  <c:v>0</c:v>
                </c:pt>
                <c:pt idx="316">
                  <c:v>0</c:v>
                </c:pt>
                <c:pt idx="317">
                  <c:v>1</c:v>
                </c:pt>
                <c:pt idx="318">
                  <c:v>0</c:v>
                </c:pt>
                <c:pt idx="319">
                  <c:v>0</c:v>
                </c:pt>
                <c:pt idx="320">
                  <c:v>0</c:v>
                </c:pt>
                <c:pt idx="321">
                  <c:v>0</c:v>
                </c:pt>
                <c:pt idx="322">
                  <c:v>0</c:v>
                </c:pt>
                <c:pt idx="323">
                  <c:v>0</c:v>
                </c:pt>
                <c:pt idx="324">
                  <c:v>1</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1</c:v>
                </c:pt>
                <c:pt idx="342">
                  <c:v>0</c:v>
                </c:pt>
                <c:pt idx="343">
                  <c:v>0</c:v>
                </c:pt>
                <c:pt idx="344">
                  <c:v>1</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1</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1</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1</c:v>
                </c:pt>
                <c:pt idx="398">
                  <c:v>0</c:v>
                </c:pt>
                <c:pt idx="399">
                  <c:v>0</c:v>
                </c:pt>
                <c:pt idx="400">
                  <c:v>0</c:v>
                </c:pt>
                <c:pt idx="401">
                  <c:v>0</c:v>
                </c:pt>
                <c:pt idx="402">
                  <c:v>1</c:v>
                </c:pt>
                <c:pt idx="403">
                  <c:v>0</c:v>
                </c:pt>
                <c:pt idx="404">
                  <c:v>0</c:v>
                </c:pt>
                <c:pt idx="405">
                  <c:v>0</c:v>
                </c:pt>
                <c:pt idx="406">
                  <c:v>0</c:v>
                </c:pt>
                <c:pt idx="407">
                  <c:v>0</c:v>
                </c:pt>
                <c:pt idx="408">
                  <c:v>0</c:v>
                </c:pt>
                <c:pt idx="409">
                  <c:v>0</c:v>
                </c:pt>
                <c:pt idx="410">
                  <c:v>1</c:v>
                </c:pt>
                <c:pt idx="411">
                  <c:v>0</c:v>
                </c:pt>
                <c:pt idx="412">
                  <c:v>0</c:v>
                </c:pt>
                <c:pt idx="413">
                  <c:v>0</c:v>
                </c:pt>
                <c:pt idx="414">
                  <c:v>1</c:v>
                </c:pt>
                <c:pt idx="415">
                  <c:v>0</c:v>
                </c:pt>
                <c:pt idx="416">
                  <c:v>0</c:v>
                </c:pt>
                <c:pt idx="417">
                  <c:v>0</c:v>
                </c:pt>
                <c:pt idx="418">
                  <c:v>0</c:v>
                </c:pt>
                <c:pt idx="419">
                  <c:v>1</c:v>
                </c:pt>
                <c:pt idx="420">
                  <c:v>0</c:v>
                </c:pt>
                <c:pt idx="421">
                  <c:v>0</c:v>
                </c:pt>
                <c:pt idx="422">
                  <c:v>0</c:v>
                </c:pt>
                <c:pt idx="423">
                  <c:v>0</c:v>
                </c:pt>
                <c:pt idx="424">
                  <c:v>0</c:v>
                </c:pt>
                <c:pt idx="425">
                  <c:v>0</c:v>
                </c:pt>
                <c:pt idx="426">
                  <c:v>0</c:v>
                </c:pt>
                <c:pt idx="427">
                  <c:v>0</c:v>
                </c:pt>
                <c:pt idx="428">
                  <c:v>0</c:v>
                </c:pt>
                <c:pt idx="429">
                  <c:v>0</c:v>
                </c:pt>
                <c:pt idx="430">
                  <c:v>0</c:v>
                </c:pt>
                <c:pt idx="431">
                  <c:v>0</c:v>
                </c:pt>
                <c:pt idx="432">
                  <c:v>1</c:v>
                </c:pt>
                <c:pt idx="433">
                  <c:v>0</c:v>
                </c:pt>
                <c:pt idx="434">
                  <c:v>0</c:v>
                </c:pt>
                <c:pt idx="435">
                  <c:v>0</c:v>
                </c:pt>
                <c:pt idx="436">
                  <c:v>1</c:v>
                </c:pt>
                <c:pt idx="437">
                  <c:v>0</c:v>
                </c:pt>
                <c:pt idx="438">
                  <c:v>1</c:v>
                </c:pt>
                <c:pt idx="439">
                  <c:v>1</c:v>
                </c:pt>
                <c:pt idx="440">
                  <c:v>0</c:v>
                </c:pt>
                <c:pt idx="441">
                  <c:v>0</c:v>
                </c:pt>
                <c:pt idx="442">
                  <c:v>0</c:v>
                </c:pt>
                <c:pt idx="443">
                  <c:v>0</c:v>
                </c:pt>
                <c:pt idx="444">
                  <c:v>0</c:v>
                </c:pt>
                <c:pt idx="445">
                  <c:v>0</c:v>
                </c:pt>
                <c:pt idx="446">
                  <c:v>0</c:v>
                </c:pt>
                <c:pt idx="447">
                  <c:v>1</c:v>
                </c:pt>
                <c:pt idx="448">
                  <c:v>0</c:v>
                </c:pt>
                <c:pt idx="449">
                  <c:v>0</c:v>
                </c:pt>
                <c:pt idx="450">
                  <c:v>1</c:v>
                </c:pt>
                <c:pt idx="451">
                  <c:v>0</c:v>
                </c:pt>
                <c:pt idx="452">
                  <c:v>0</c:v>
                </c:pt>
                <c:pt idx="453">
                  <c:v>0</c:v>
                </c:pt>
                <c:pt idx="454">
                  <c:v>0</c:v>
                </c:pt>
                <c:pt idx="455">
                  <c:v>0</c:v>
                </c:pt>
                <c:pt idx="456">
                  <c:v>1</c:v>
                </c:pt>
                <c:pt idx="457">
                  <c:v>0</c:v>
                </c:pt>
                <c:pt idx="458">
                  <c:v>1</c:v>
                </c:pt>
                <c:pt idx="459">
                  <c:v>0</c:v>
                </c:pt>
                <c:pt idx="460">
                  <c:v>0</c:v>
                </c:pt>
                <c:pt idx="461">
                  <c:v>0</c:v>
                </c:pt>
                <c:pt idx="462">
                  <c:v>0</c:v>
                </c:pt>
                <c:pt idx="463">
                  <c:v>0</c:v>
                </c:pt>
                <c:pt idx="464">
                  <c:v>0</c:v>
                </c:pt>
                <c:pt idx="465">
                  <c:v>0</c:v>
                </c:pt>
                <c:pt idx="466">
                  <c:v>0</c:v>
                </c:pt>
                <c:pt idx="467">
                  <c:v>0</c:v>
                </c:pt>
                <c:pt idx="468">
                  <c:v>0</c:v>
                </c:pt>
                <c:pt idx="469">
                  <c:v>1</c:v>
                </c:pt>
                <c:pt idx="470">
                  <c:v>0</c:v>
                </c:pt>
                <c:pt idx="471">
                  <c:v>1</c:v>
                </c:pt>
                <c:pt idx="472">
                  <c:v>0</c:v>
                </c:pt>
                <c:pt idx="473">
                  <c:v>0</c:v>
                </c:pt>
                <c:pt idx="474">
                  <c:v>0</c:v>
                </c:pt>
                <c:pt idx="475">
                  <c:v>0</c:v>
                </c:pt>
                <c:pt idx="476">
                  <c:v>0</c:v>
                </c:pt>
                <c:pt idx="477">
                  <c:v>0</c:v>
                </c:pt>
                <c:pt idx="478">
                  <c:v>0</c:v>
                </c:pt>
                <c:pt idx="479">
                  <c:v>1</c:v>
                </c:pt>
                <c:pt idx="480">
                  <c:v>0</c:v>
                </c:pt>
                <c:pt idx="481">
                  <c:v>0</c:v>
                </c:pt>
                <c:pt idx="482">
                  <c:v>0</c:v>
                </c:pt>
                <c:pt idx="483">
                  <c:v>0</c:v>
                </c:pt>
                <c:pt idx="484">
                  <c:v>0</c:v>
                </c:pt>
                <c:pt idx="485">
                  <c:v>0</c:v>
                </c:pt>
                <c:pt idx="486">
                  <c:v>0</c:v>
                </c:pt>
                <c:pt idx="487">
                  <c:v>0</c:v>
                </c:pt>
                <c:pt idx="488">
                  <c:v>0</c:v>
                </c:pt>
                <c:pt idx="489">
                  <c:v>0</c:v>
                </c:pt>
                <c:pt idx="490">
                  <c:v>0</c:v>
                </c:pt>
                <c:pt idx="491">
                  <c:v>1</c:v>
                </c:pt>
                <c:pt idx="492">
                  <c:v>0</c:v>
                </c:pt>
                <c:pt idx="493">
                  <c:v>0</c:v>
                </c:pt>
                <c:pt idx="494">
                  <c:v>0</c:v>
                </c:pt>
                <c:pt idx="495">
                  <c:v>0</c:v>
                </c:pt>
                <c:pt idx="496">
                  <c:v>0</c:v>
                </c:pt>
                <c:pt idx="497">
                  <c:v>0</c:v>
                </c:pt>
                <c:pt idx="498">
                  <c:v>0</c:v>
                </c:pt>
                <c:pt idx="499">
                  <c:v>1</c:v>
                </c:pt>
              </c:numCache>
            </c:numRef>
          </c:xVal>
          <c:yVal>
            <c:numRef>
              <c:f>'Residual plots for model'!$C$27:$C$526</c:f>
              <c:numCache>
                <c:formatCode>General</c:formatCode>
                <c:ptCount val="500"/>
                <c:pt idx="0">
                  <c:v>-0.3964562738969355</c:v>
                </c:pt>
                <c:pt idx="1">
                  <c:v>-0.27393790154508491</c:v>
                </c:pt>
                <c:pt idx="2">
                  <c:v>0.60949260145006523</c:v>
                </c:pt>
                <c:pt idx="3">
                  <c:v>0.45948395217641735</c:v>
                </c:pt>
                <c:pt idx="4">
                  <c:v>-0.55907373451610898</c:v>
                </c:pt>
                <c:pt idx="5">
                  <c:v>-0.92044284916433972</c:v>
                </c:pt>
                <c:pt idx="6">
                  <c:v>-1.1788765073149459</c:v>
                </c:pt>
                <c:pt idx="7">
                  <c:v>0.5419003852004316</c:v>
                </c:pt>
                <c:pt idx="8">
                  <c:v>-0.20479295214027626</c:v>
                </c:pt>
                <c:pt idx="9">
                  <c:v>-0.1096983592907792</c:v>
                </c:pt>
                <c:pt idx="10">
                  <c:v>-1.3286959625985695E-2</c:v>
                </c:pt>
                <c:pt idx="11">
                  <c:v>-3.716878185551753E-2</c:v>
                </c:pt>
                <c:pt idx="12">
                  <c:v>0.12819929637534511</c:v>
                </c:pt>
                <c:pt idx="13">
                  <c:v>0.49520855178198531</c:v>
                </c:pt>
                <c:pt idx="14">
                  <c:v>0.30647175688269623</c:v>
                </c:pt>
                <c:pt idx="15">
                  <c:v>-0.52566690458899501</c:v>
                </c:pt>
                <c:pt idx="16">
                  <c:v>-0.67250776068810225</c:v>
                </c:pt>
                <c:pt idx="17">
                  <c:v>-9.282629138296894E-2</c:v>
                </c:pt>
                <c:pt idx="18">
                  <c:v>-0.60672862483723478</c:v>
                </c:pt>
                <c:pt idx="19">
                  <c:v>1.2070386648997733E-2</c:v>
                </c:pt>
                <c:pt idx="20">
                  <c:v>-0.61478629882503366</c:v>
                </c:pt>
                <c:pt idx="21">
                  <c:v>-0.26216960950683887</c:v>
                </c:pt>
                <c:pt idx="22">
                  <c:v>0.31553047162589642</c:v>
                </c:pt>
                <c:pt idx="23">
                  <c:v>-0.70194160967312236</c:v>
                </c:pt>
                <c:pt idx="24">
                  <c:v>0.21185579636705576</c:v>
                </c:pt>
                <c:pt idx="25">
                  <c:v>-0.66147713303147349</c:v>
                </c:pt>
                <c:pt idx="26">
                  <c:v>-0.77520190423519963</c:v>
                </c:pt>
                <c:pt idx="27">
                  <c:v>-0.71235063039434454</c:v>
                </c:pt>
                <c:pt idx="28">
                  <c:v>0.1311314736164757</c:v>
                </c:pt>
                <c:pt idx="29">
                  <c:v>-0.87138678550163284</c:v>
                </c:pt>
                <c:pt idx="30">
                  <c:v>0.49330114977882644</c:v>
                </c:pt>
                <c:pt idx="31">
                  <c:v>-0.23180181857906845</c:v>
                </c:pt>
                <c:pt idx="32">
                  <c:v>-0.65885048514862854</c:v>
                </c:pt>
                <c:pt idx="33">
                  <c:v>-0.59754769575166478</c:v>
                </c:pt>
                <c:pt idx="34">
                  <c:v>-0.20176046280237525</c:v>
                </c:pt>
                <c:pt idx="35">
                  <c:v>0.67128625655175256</c:v>
                </c:pt>
                <c:pt idx="36">
                  <c:v>0.76711219101890915</c:v>
                </c:pt>
                <c:pt idx="37">
                  <c:v>0.93208450585996427</c:v>
                </c:pt>
                <c:pt idx="38">
                  <c:v>-0.19927669256968095</c:v>
                </c:pt>
                <c:pt idx="39">
                  <c:v>0.22137125275528824</c:v>
                </c:pt>
                <c:pt idx="40">
                  <c:v>-0.83053953464321761</c:v>
                </c:pt>
                <c:pt idx="41">
                  <c:v>1.0525433736988354</c:v>
                </c:pt>
                <c:pt idx="42">
                  <c:v>4.7039162251023114E-2</c:v>
                </c:pt>
                <c:pt idx="43">
                  <c:v>0.62551691900978224</c:v>
                </c:pt>
                <c:pt idx="44">
                  <c:v>-0.81781561179672746</c:v>
                </c:pt>
                <c:pt idx="45">
                  <c:v>0.2624679744317131</c:v>
                </c:pt>
                <c:pt idx="46">
                  <c:v>0.78540104480621942</c:v>
                </c:pt>
                <c:pt idx="47">
                  <c:v>-0.24797985989915095</c:v>
                </c:pt>
                <c:pt idx="48">
                  <c:v>-0.94443225675267195</c:v>
                </c:pt>
                <c:pt idx="49">
                  <c:v>0.87521562787198981</c:v>
                </c:pt>
                <c:pt idx="50">
                  <c:v>-0.73765551410730712</c:v>
                </c:pt>
                <c:pt idx="51">
                  <c:v>0.88041007173964125</c:v>
                </c:pt>
                <c:pt idx="52">
                  <c:v>-0.57253205619749359</c:v>
                </c:pt>
                <c:pt idx="53">
                  <c:v>0.24281326790206226</c:v>
                </c:pt>
                <c:pt idx="54">
                  <c:v>-0.43451446703322283</c:v>
                </c:pt>
                <c:pt idx="55">
                  <c:v>0.40696817726551249</c:v>
                </c:pt>
                <c:pt idx="56">
                  <c:v>0.63364857893985249</c:v>
                </c:pt>
                <c:pt idx="57">
                  <c:v>-0.64862051526897613</c:v>
                </c:pt>
                <c:pt idx="58">
                  <c:v>-0.54379179509959119</c:v>
                </c:pt>
                <c:pt idx="59">
                  <c:v>-0.19665962972312645</c:v>
                </c:pt>
                <c:pt idx="60">
                  <c:v>-0.94849898854555192</c:v>
                </c:pt>
                <c:pt idx="61">
                  <c:v>-0.26716925468601715</c:v>
                </c:pt>
                <c:pt idx="62">
                  <c:v>-0.17951034721225945</c:v>
                </c:pt>
                <c:pt idx="63">
                  <c:v>0.59027402129604667</c:v>
                </c:pt>
                <c:pt idx="64">
                  <c:v>0.62895631313574896</c:v>
                </c:pt>
                <c:pt idx="65">
                  <c:v>0.46504027590871289</c:v>
                </c:pt>
                <c:pt idx="66">
                  <c:v>0.44568831937349263</c:v>
                </c:pt>
                <c:pt idx="67">
                  <c:v>7.1808670712583123E-2</c:v>
                </c:pt>
                <c:pt idx="68">
                  <c:v>0.89995658973555948</c:v>
                </c:pt>
                <c:pt idx="69">
                  <c:v>-0.10980914019998611</c:v>
                </c:pt>
                <c:pt idx="70">
                  <c:v>-0.52350585775629188</c:v>
                </c:pt>
                <c:pt idx="71">
                  <c:v>0.34975141382270714</c:v>
                </c:pt>
                <c:pt idx="72">
                  <c:v>-0.9004992137756016</c:v>
                </c:pt>
                <c:pt idx="73">
                  <c:v>-0.14630837039599953</c:v>
                </c:pt>
                <c:pt idx="74">
                  <c:v>-0.61758129123817795</c:v>
                </c:pt>
                <c:pt idx="75">
                  <c:v>-0.76537100604128883</c:v>
                </c:pt>
                <c:pt idx="76">
                  <c:v>-0.30111625322261659</c:v>
                </c:pt>
                <c:pt idx="77">
                  <c:v>1.9165725623171426E-2</c:v>
                </c:pt>
                <c:pt idx="78">
                  <c:v>-0.15155336213291104</c:v>
                </c:pt>
                <c:pt idx="79">
                  <c:v>-0.5092919449866935</c:v>
                </c:pt>
                <c:pt idx="80">
                  <c:v>0.91537414294741914</c:v>
                </c:pt>
                <c:pt idx="81">
                  <c:v>-0.31257438394586234</c:v>
                </c:pt>
                <c:pt idx="82">
                  <c:v>0.28815506565676952</c:v>
                </c:pt>
                <c:pt idx="83">
                  <c:v>0.37771920310574991</c:v>
                </c:pt>
                <c:pt idx="84">
                  <c:v>1.5597398251046002E-2</c:v>
                </c:pt>
                <c:pt idx="85">
                  <c:v>8.0838734220683328E-2</c:v>
                </c:pt>
                <c:pt idx="86">
                  <c:v>0.63182762360956168</c:v>
                </c:pt>
                <c:pt idx="87">
                  <c:v>0.79984977577734817</c:v>
                </c:pt>
                <c:pt idx="88">
                  <c:v>-0.78300379665270459</c:v>
                </c:pt>
                <c:pt idx="89">
                  <c:v>0.53214701445846746</c:v>
                </c:pt>
                <c:pt idx="90">
                  <c:v>-0.281669530059383</c:v>
                </c:pt>
                <c:pt idx="91">
                  <c:v>-2.7345488093036607E-2</c:v>
                </c:pt>
                <c:pt idx="92">
                  <c:v>0.54221616740356904</c:v>
                </c:pt>
                <c:pt idx="93">
                  <c:v>-0.23296994106480184</c:v>
                </c:pt>
                <c:pt idx="94">
                  <c:v>-0.46014801621976575</c:v>
                </c:pt>
                <c:pt idx="95">
                  <c:v>-0.33006778273454351</c:v>
                </c:pt>
                <c:pt idx="96">
                  <c:v>1.0144121146780849</c:v>
                </c:pt>
                <c:pt idx="97">
                  <c:v>-1.7575893439640389E-2</c:v>
                </c:pt>
                <c:pt idx="98">
                  <c:v>-0.96265491584553153</c:v>
                </c:pt>
                <c:pt idx="99">
                  <c:v>0.20003027860422407</c:v>
                </c:pt>
                <c:pt idx="100">
                  <c:v>0.43245656656337417</c:v>
                </c:pt>
                <c:pt idx="101">
                  <c:v>-0.8578649573656989</c:v>
                </c:pt>
                <c:pt idx="102">
                  <c:v>-0.5355941253236649</c:v>
                </c:pt>
                <c:pt idx="103">
                  <c:v>-0.35898792425137049</c:v>
                </c:pt>
                <c:pt idx="104">
                  <c:v>-0.16373097067217923</c:v>
                </c:pt>
                <c:pt idx="105">
                  <c:v>0.43682461619563462</c:v>
                </c:pt>
                <c:pt idx="106">
                  <c:v>-0.51930170756749661</c:v>
                </c:pt>
                <c:pt idx="107">
                  <c:v>0.49925952369302973</c:v>
                </c:pt>
                <c:pt idx="108">
                  <c:v>-0.24711711370228873</c:v>
                </c:pt>
                <c:pt idx="109">
                  <c:v>-0.22683905817855532</c:v>
                </c:pt>
                <c:pt idx="110">
                  <c:v>0.93312688038919411</c:v>
                </c:pt>
                <c:pt idx="111">
                  <c:v>-0.7812523002408911</c:v>
                </c:pt>
                <c:pt idx="112">
                  <c:v>-0.90115922772780799</c:v>
                </c:pt>
                <c:pt idx="113">
                  <c:v>0.60639326423441275</c:v>
                </c:pt>
                <c:pt idx="114">
                  <c:v>-0.4478494502639867</c:v>
                </c:pt>
                <c:pt idx="115">
                  <c:v>0.17944255843829193</c:v>
                </c:pt>
                <c:pt idx="116">
                  <c:v>-0.34467796317722232</c:v>
                </c:pt>
                <c:pt idx="117">
                  <c:v>0.82232405434800349</c:v>
                </c:pt>
                <c:pt idx="118">
                  <c:v>-9.1714282704390193E-2</c:v>
                </c:pt>
                <c:pt idx="119">
                  <c:v>-0.60793190031857414</c:v>
                </c:pt>
                <c:pt idx="120">
                  <c:v>-0.63519935847875519</c:v>
                </c:pt>
                <c:pt idx="121">
                  <c:v>-0.54392735801854686</c:v>
                </c:pt>
                <c:pt idx="122">
                  <c:v>-0.89778768328482172</c:v>
                </c:pt>
                <c:pt idx="123">
                  <c:v>0.67806272233517184</c:v>
                </c:pt>
                <c:pt idx="124">
                  <c:v>-1.0524621800639897</c:v>
                </c:pt>
                <c:pt idx="125">
                  <c:v>0.81677356529001965</c:v>
                </c:pt>
                <c:pt idx="126">
                  <c:v>-9.2133430311491793E-3</c:v>
                </c:pt>
                <c:pt idx="127">
                  <c:v>-0.42381799330711001</c:v>
                </c:pt>
                <c:pt idx="128">
                  <c:v>0.43944557795538142</c:v>
                </c:pt>
                <c:pt idx="129">
                  <c:v>0.73164637353087336</c:v>
                </c:pt>
                <c:pt idx="130">
                  <c:v>0.76215309708592738</c:v>
                </c:pt>
                <c:pt idx="131">
                  <c:v>0.73618399345745544</c:v>
                </c:pt>
                <c:pt idx="132">
                  <c:v>0.47241024017605238</c:v>
                </c:pt>
                <c:pt idx="133">
                  <c:v>-0.65499247351642564</c:v>
                </c:pt>
                <c:pt idx="134">
                  <c:v>7.3689179136888328E-2</c:v>
                </c:pt>
                <c:pt idx="135">
                  <c:v>-0.85394909132875974</c:v>
                </c:pt>
                <c:pt idx="136">
                  <c:v>-0.54261313878004813</c:v>
                </c:pt>
                <c:pt idx="137">
                  <c:v>0.37955060485203518</c:v>
                </c:pt>
                <c:pt idx="138">
                  <c:v>0.5295300637128646</c:v>
                </c:pt>
                <c:pt idx="139">
                  <c:v>0.73025230207287173</c:v>
                </c:pt>
                <c:pt idx="140">
                  <c:v>0.70217296601044943</c:v>
                </c:pt>
                <c:pt idx="141">
                  <c:v>0.67844040010673545</c:v>
                </c:pt>
                <c:pt idx="142">
                  <c:v>-0.18779917551879866</c:v>
                </c:pt>
                <c:pt idx="143">
                  <c:v>0.29026211995546092</c:v>
                </c:pt>
                <c:pt idx="144">
                  <c:v>-0.34356675188268238</c:v>
                </c:pt>
                <c:pt idx="145">
                  <c:v>-0.45347885444158154</c:v>
                </c:pt>
                <c:pt idx="146">
                  <c:v>-0.72429842365978647</c:v>
                </c:pt>
                <c:pt idx="147">
                  <c:v>-0.86934968105896804</c:v>
                </c:pt>
                <c:pt idx="148">
                  <c:v>0.97876234329591849</c:v>
                </c:pt>
                <c:pt idx="149">
                  <c:v>1.3521284774390629E-2</c:v>
                </c:pt>
                <c:pt idx="150">
                  <c:v>-0.90924447346802717</c:v>
                </c:pt>
                <c:pt idx="151">
                  <c:v>-0.62703827344363461</c:v>
                </c:pt>
                <c:pt idx="152">
                  <c:v>-0.41831513058772885</c:v>
                </c:pt>
                <c:pt idx="153">
                  <c:v>-0.18300517836551755</c:v>
                </c:pt>
                <c:pt idx="154">
                  <c:v>-0.72350122811161643</c:v>
                </c:pt>
                <c:pt idx="155">
                  <c:v>-6.3068574153493984E-2</c:v>
                </c:pt>
                <c:pt idx="156">
                  <c:v>0.24817645221763485</c:v>
                </c:pt>
                <c:pt idx="157">
                  <c:v>0.2646212616718735</c:v>
                </c:pt>
                <c:pt idx="158">
                  <c:v>-0.54979684512267202</c:v>
                </c:pt>
                <c:pt idx="159">
                  <c:v>0.66181407622872523</c:v>
                </c:pt>
                <c:pt idx="160">
                  <c:v>-0.22877883048427883</c:v>
                </c:pt>
                <c:pt idx="161">
                  <c:v>0.69736866303703859</c:v>
                </c:pt>
                <c:pt idx="162">
                  <c:v>-0.60793340410861951</c:v>
                </c:pt>
                <c:pt idx="163">
                  <c:v>-3.6148003539004492E-2</c:v>
                </c:pt>
                <c:pt idx="164">
                  <c:v>-0.15406161432283838</c:v>
                </c:pt>
                <c:pt idx="165">
                  <c:v>1.0342816085435693</c:v>
                </c:pt>
                <c:pt idx="166">
                  <c:v>-0.75454472229887948</c:v>
                </c:pt>
                <c:pt idx="167">
                  <c:v>0.35997887610020296</c:v>
                </c:pt>
                <c:pt idx="168">
                  <c:v>0.78014652332903367</c:v>
                </c:pt>
                <c:pt idx="169">
                  <c:v>-4.2510028915414111E-2</c:v>
                </c:pt>
                <c:pt idx="170">
                  <c:v>-0.85184630343455581</c:v>
                </c:pt>
                <c:pt idx="171">
                  <c:v>0.19908920192044199</c:v>
                </c:pt>
                <c:pt idx="172">
                  <c:v>-0.55676633017987598</c:v>
                </c:pt>
                <c:pt idx="173">
                  <c:v>-0.61298725098107365</c:v>
                </c:pt>
                <c:pt idx="174">
                  <c:v>0.90963937681031126</c:v>
                </c:pt>
                <c:pt idx="175">
                  <c:v>0.8534781851569484</c:v>
                </c:pt>
                <c:pt idx="176">
                  <c:v>-0.35051317271808724</c:v>
                </c:pt>
                <c:pt idx="177">
                  <c:v>-0.32773967319498398</c:v>
                </c:pt>
                <c:pt idx="178">
                  <c:v>-0.37905615592441055</c:v>
                </c:pt>
                <c:pt idx="179">
                  <c:v>-0.2582110560231321</c:v>
                </c:pt>
                <c:pt idx="180">
                  <c:v>3.0679958621276704E-2</c:v>
                </c:pt>
                <c:pt idx="181">
                  <c:v>0.65886525961631826</c:v>
                </c:pt>
                <c:pt idx="182">
                  <c:v>0.53073719520207607</c:v>
                </c:pt>
                <c:pt idx="183">
                  <c:v>-0.72044086806997898</c:v>
                </c:pt>
                <c:pt idx="184">
                  <c:v>0.93992211277672943</c:v>
                </c:pt>
                <c:pt idx="185">
                  <c:v>0.26626016604200053</c:v>
                </c:pt>
                <c:pt idx="186">
                  <c:v>-0.18231124062429238</c:v>
                </c:pt>
                <c:pt idx="187">
                  <c:v>1.17206193431727E-2</c:v>
                </c:pt>
                <c:pt idx="188">
                  <c:v>-6.3235897131038499E-2</c:v>
                </c:pt>
                <c:pt idx="189">
                  <c:v>0.13969535033421288</c:v>
                </c:pt>
                <c:pt idx="190">
                  <c:v>-1.02375339351899</c:v>
                </c:pt>
                <c:pt idx="191">
                  <c:v>6.7321968854791692E-2</c:v>
                </c:pt>
                <c:pt idx="192">
                  <c:v>0.45199800245609367</c:v>
                </c:pt>
                <c:pt idx="193">
                  <c:v>9.8068981146078649E-2</c:v>
                </c:pt>
                <c:pt idx="194">
                  <c:v>-0.87610924613675767</c:v>
                </c:pt>
                <c:pt idx="195">
                  <c:v>0.36617687313385705</c:v>
                </c:pt>
                <c:pt idx="196">
                  <c:v>0.65700338963936211</c:v>
                </c:pt>
                <c:pt idx="197">
                  <c:v>-0.37157374198324433</c:v>
                </c:pt>
                <c:pt idx="198">
                  <c:v>0.41516698663591711</c:v>
                </c:pt>
                <c:pt idx="199">
                  <c:v>-0.58743736187539852</c:v>
                </c:pt>
                <c:pt idx="200">
                  <c:v>-0.63008289491161573</c:v>
                </c:pt>
                <c:pt idx="201">
                  <c:v>1.0728751748686252</c:v>
                </c:pt>
                <c:pt idx="202">
                  <c:v>-0.34811844808912973</c:v>
                </c:pt>
                <c:pt idx="203">
                  <c:v>-0.89072389772422955</c:v>
                </c:pt>
                <c:pt idx="204">
                  <c:v>-0.86671394705399551</c:v>
                </c:pt>
                <c:pt idx="205">
                  <c:v>2.8254252290365933E-2</c:v>
                </c:pt>
                <c:pt idx="206">
                  <c:v>-0.20684506901457578</c:v>
                </c:pt>
                <c:pt idx="207">
                  <c:v>4.8150478583797174E-2</c:v>
                </c:pt>
                <c:pt idx="208">
                  <c:v>0.60505203102404437</c:v>
                </c:pt>
                <c:pt idx="209">
                  <c:v>-0.89672124117591157</c:v>
                </c:pt>
                <c:pt idx="210">
                  <c:v>0.81787120173326677</c:v>
                </c:pt>
                <c:pt idx="211">
                  <c:v>0.24042547789848712</c:v>
                </c:pt>
                <c:pt idx="212">
                  <c:v>-0.11626889251012784</c:v>
                </c:pt>
                <c:pt idx="213">
                  <c:v>0.62829931672561745</c:v>
                </c:pt>
                <c:pt idx="214">
                  <c:v>-1.016143580973794</c:v>
                </c:pt>
                <c:pt idx="215">
                  <c:v>-0.82602056391721757</c:v>
                </c:pt>
                <c:pt idx="216">
                  <c:v>-8.6872536837800496E-2</c:v>
                </c:pt>
                <c:pt idx="217">
                  <c:v>-0.35782902339005318</c:v>
                </c:pt>
                <c:pt idx="218">
                  <c:v>0.67329915367874182</c:v>
                </c:pt>
                <c:pt idx="219">
                  <c:v>-0.34413181819544203</c:v>
                </c:pt>
                <c:pt idx="220">
                  <c:v>-0.75140585049497766</c:v>
                </c:pt>
                <c:pt idx="221">
                  <c:v>-0.33278421019964899</c:v>
                </c:pt>
                <c:pt idx="222">
                  <c:v>0.32590788780541669</c:v>
                </c:pt>
                <c:pt idx="223">
                  <c:v>-0.31819326129475289</c:v>
                </c:pt>
                <c:pt idx="224">
                  <c:v>-0.50624833624945609</c:v>
                </c:pt>
                <c:pt idx="225">
                  <c:v>0.85749528742202319</c:v>
                </c:pt>
                <c:pt idx="226">
                  <c:v>0.86287509140577612</c:v>
                </c:pt>
                <c:pt idx="227">
                  <c:v>-0.59617791699773814</c:v>
                </c:pt>
                <c:pt idx="228">
                  <c:v>-0.30461735745081331</c:v>
                </c:pt>
                <c:pt idx="229">
                  <c:v>-7.5166489116273105E-2</c:v>
                </c:pt>
                <c:pt idx="230">
                  <c:v>-4.7430155098273197E-2</c:v>
                </c:pt>
                <c:pt idx="231">
                  <c:v>0.48786303077471782</c:v>
                </c:pt>
                <c:pt idx="232">
                  <c:v>-0.34512583409795283</c:v>
                </c:pt>
                <c:pt idx="233">
                  <c:v>-0.19272139779468489</c:v>
                </c:pt>
                <c:pt idx="234">
                  <c:v>0.58353011921420261</c:v>
                </c:pt>
                <c:pt idx="235">
                  <c:v>0.75473314518962908</c:v>
                </c:pt>
                <c:pt idx="236">
                  <c:v>0.32784626373901471</c:v>
                </c:pt>
                <c:pt idx="237">
                  <c:v>0.85656150279182519</c:v>
                </c:pt>
                <c:pt idx="238">
                  <c:v>0.43648042689402367</c:v>
                </c:pt>
                <c:pt idx="239">
                  <c:v>0.33763721894233623</c:v>
                </c:pt>
                <c:pt idx="240">
                  <c:v>-0.64832429923270229</c:v>
                </c:pt>
                <c:pt idx="241">
                  <c:v>0.3795785696457914</c:v>
                </c:pt>
                <c:pt idx="242">
                  <c:v>0.9835340911361099</c:v>
                </c:pt>
                <c:pt idx="243">
                  <c:v>0.64782773502931068</c:v>
                </c:pt>
                <c:pt idx="244">
                  <c:v>-0.84323808128575362</c:v>
                </c:pt>
                <c:pt idx="245">
                  <c:v>-0.66573141410333125</c:v>
                </c:pt>
                <c:pt idx="246">
                  <c:v>-4.8526131583081167E-2</c:v>
                </c:pt>
                <c:pt idx="247">
                  <c:v>-0.84448276542089662</c:v>
                </c:pt>
                <c:pt idx="248">
                  <c:v>0.35798516389905632</c:v>
                </c:pt>
                <c:pt idx="249">
                  <c:v>-0.64099247494929035</c:v>
                </c:pt>
                <c:pt idx="250">
                  <c:v>2.1939611379693247E-3</c:v>
                </c:pt>
                <c:pt idx="251">
                  <c:v>-0.72166506809204201</c:v>
                </c:pt>
                <c:pt idx="252">
                  <c:v>-0.50811592737015143</c:v>
                </c:pt>
                <c:pt idx="253">
                  <c:v>-0.75010890993013302</c:v>
                </c:pt>
                <c:pt idx="254">
                  <c:v>-0.46828210211259513</c:v>
                </c:pt>
                <c:pt idx="255">
                  <c:v>0.614767606653702</c:v>
                </c:pt>
                <c:pt idx="256">
                  <c:v>-0.39140043944826086</c:v>
                </c:pt>
                <c:pt idx="257">
                  <c:v>0.91229060988149513</c:v>
                </c:pt>
                <c:pt idx="258">
                  <c:v>-0.9635056136408231</c:v>
                </c:pt>
                <c:pt idx="259">
                  <c:v>-0.12081557510893148</c:v>
                </c:pt>
                <c:pt idx="260">
                  <c:v>0.79755764225773529</c:v>
                </c:pt>
                <c:pt idx="261">
                  <c:v>0.87297943353199781</c:v>
                </c:pt>
                <c:pt idx="262">
                  <c:v>-0.36187656810112045</c:v>
                </c:pt>
                <c:pt idx="263">
                  <c:v>0.92222049558942931</c:v>
                </c:pt>
                <c:pt idx="264">
                  <c:v>0.68550519979135682</c:v>
                </c:pt>
                <c:pt idx="265">
                  <c:v>0.26931716395246141</c:v>
                </c:pt>
                <c:pt idx="266">
                  <c:v>-0.97110314727740388</c:v>
                </c:pt>
                <c:pt idx="267">
                  <c:v>0.622095537286806</c:v>
                </c:pt>
                <c:pt idx="268">
                  <c:v>0.13627351440728397</c:v>
                </c:pt>
                <c:pt idx="269">
                  <c:v>-0.73465297193761581</c:v>
                </c:pt>
                <c:pt idx="270">
                  <c:v>-0.92914849973259717</c:v>
                </c:pt>
                <c:pt idx="271">
                  <c:v>2.8452286174501573E-2</c:v>
                </c:pt>
                <c:pt idx="272">
                  <c:v>0.78768788542189139</c:v>
                </c:pt>
                <c:pt idx="273">
                  <c:v>1.0196872827273085</c:v>
                </c:pt>
                <c:pt idx="274">
                  <c:v>0.53201561268160447</c:v>
                </c:pt>
                <c:pt idx="275">
                  <c:v>0.81509449512404597</c:v>
                </c:pt>
                <c:pt idx="276">
                  <c:v>0.37313166566469569</c:v>
                </c:pt>
                <c:pt idx="277">
                  <c:v>0.53134765762355141</c:v>
                </c:pt>
                <c:pt idx="278">
                  <c:v>-0.92539828521649703</c:v>
                </c:pt>
                <c:pt idx="279">
                  <c:v>0.69543148975999536</c:v>
                </c:pt>
                <c:pt idx="280">
                  <c:v>0.64795294200742415</c:v>
                </c:pt>
                <c:pt idx="281">
                  <c:v>-0.27993945872290826</c:v>
                </c:pt>
                <c:pt idx="282">
                  <c:v>-0.68621201764876405</c:v>
                </c:pt>
                <c:pt idx="283">
                  <c:v>-0.26827308748519041</c:v>
                </c:pt>
                <c:pt idx="284">
                  <c:v>-0.59219487703904328</c:v>
                </c:pt>
                <c:pt idx="285">
                  <c:v>0.22526154399536047</c:v>
                </c:pt>
                <c:pt idx="286">
                  <c:v>-0.87802417536242094</c:v>
                </c:pt>
                <c:pt idx="287">
                  <c:v>0.93445062683777902</c:v>
                </c:pt>
                <c:pt idx="288">
                  <c:v>0.59614151541144</c:v>
                </c:pt>
                <c:pt idx="289">
                  <c:v>0.90945383162382853</c:v>
                </c:pt>
                <c:pt idx="290">
                  <c:v>0.6640235517770976</c:v>
                </c:pt>
                <c:pt idx="291">
                  <c:v>0.61167852486381769</c:v>
                </c:pt>
                <c:pt idx="292">
                  <c:v>0.20383531055756521</c:v>
                </c:pt>
                <c:pt idx="293">
                  <c:v>-0.48997476614205038</c:v>
                </c:pt>
                <c:pt idx="294">
                  <c:v>-9.6770131796468206E-2</c:v>
                </c:pt>
                <c:pt idx="295">
                  <c:v>-0.49285686802375039</c:v>
                </c:pt>
                <c:pt idx="296">
                  <c:v>0.94463591874373698</c:v>
                </c:pt>
                <c:pt idx="297">
                  <c:v>-0.38208093522082986</c:v>
                </c:pt>
                <c:pt idx="298">
                  <c:v>0.18115632212681199</c:v>
                </c:pt>
                <c:pt idx="299">
                  <c:v>-0.76017742032552693</c:v>
                </c:pt>
                <c:pt idx="300">
                  <c:v>-0.45556340018857799</c:v>
                </c:pt>
                <c:pt idx="301">
                  <c:v>2.2489043592566205E-2</c:v>
                </c:pt>
                <c:pt idx="302">
                  <c:v>-0.44087915504231479</c:v>
                </c:pt>
                <c:pt idx="303">
                  <c:v>0.26401233337349694</c:v>
                </c:pt>
                <c:pt idx="304">
                  <c:v>-0.32954382329114473</c:v>
                </c:pt>
                <c:pt idx="305">
                  <c:v>0.67457803636893043</c:v>
                </c:pt>
                <c:pt idx="306">
                  <c:v>0.26036843698290912</c:v>
                </c:pt>
                <c:pt idx="307">
                  <c:v>-0.44789081773441275</c:v>
                </c:pt>
                <c:pt idx="308">
                  <c:v>0.26875586846442978</c:v>
                </c:pt>
                <c:pt idx="309">
                  <c:v>0.41273059618094177</c:v>
                </c:pt>
                <c:pt idx="310">
                  <c:v>-0.20039068547730476</c:v>
                </c:pt>
                <c:pt idx="311">
                  <c:v>-0.34972138336571756</c:v>
                </c:pt>
                <c:pt idx="312">
                  <c:v>-0.78124681230677417</c:v>
                </c:pt>
                <c:pt idx="313">
                  <c:v>-0.66267002045499979</c:v>
                </c:pt>
                <c:pt idx="314">
                  <c:v>-1.0306575272855447</c:v>
                </c:pt>
                <c:pt idx="315">
                  <c:v>0.65173059366340702</c:v>
                </c:pt>
                <c:pt idx="316">
                  <c:v>0.46041814147172921</c:v>
                </c:pt>
                <c:pt idx="317">
                  <c:v>0.83959402075972633</c:v>
                </c:pt>
                <c:pt idx="318">
                  <c:v>-0.7993900495914632</c:v>
                </c:pt>
                <c:pt idx="319">
                  <c:v>1.1725387094250195E-2</c:v>
                </c:pt>
                <c:pt idx="320">
                  <c:v>0.57432437329704911</c:v>
                </c:pt>
                <c:pt idx="321">
                  <c:v>-0.31997079544790896</c:v>
                </c:pt>
                <c:pt idx="322">
                  <c:v>-0.48851941412909294</c:v>
                </c:pt>
                <c:pt idx="323">
                  <c:v>0.25755976806098602</c:v>
                </c:pt>
                <c:pt idx="324">
                  <c:v>0.19934967188598307</c:v>
                </c:pt>
                <c:pt idx="325">
                  <c:v>0.89253798600224865</c:v>
                </c:pt>
                <c:pt idx="326">
                  <c:v>5.0401114321476648E-2</c:v>
                </c:pt>
                <c:pt idx="327">
                  <c:v>-0.71920735342821196</c:v>
                </c:pt>
                <c:pt idx="328">
                  <c:v>-0.29434741615206761</c:v>
                </c:pt>
                <c:pt idx="329">
                  <c:v>-0.55792890479235702</c:v>
                </c:pt>
                <c:pt idx="330">
                  <c:v>3.4546339165430595E-2</c:v>
                </c:pt>
                <c:pt idx="331">
                  <c:v>-1.0027184136850664E-2</c:v>
                </c:pt>
                <c:pt idx="332">
                  <c:v>-0.89849246201953425</c:v>
                </c:pt>
                <c:pt idx="333">
                  <c:v>0.70041628153393276</c:v>
                </c:pt>
                <c:pt idx="334">
                  <c:v>-0.6472663180155287</c:v>
                </c:pt>
                <c:pt idx="335">
                  <c:v>0.70863144097014619</c:v>
                </c:pt>
                <c:pt idx="336">
                  <c:v>0.16465637501144847</c:v>
                </c:pt>
                <c:pt idx="337">
                  <c:v>-8.7990440254356095E-2</c:v>
                </c:pt>
                <c:pt idx="338">
                  <c:v>-0.33293684934662693</c:v>
                </c:pt>
                <c:pt idx="339">
                  <c:v>-0.78880274521394256</c:v>
                </c:pt>
                <c:pt idx="340">
                  <c:v>0.38683280204248849</c:v>
                </c:pt>
                <c:pt idx="341">
                  <c:v>-0.83188057993135178</c:v>
                </c:pt>
                <c:pt idx="342">
                  <c:v>-0.72680633480747314</c:v>
                </c:pt>
                <c:pt idx="343">
                  <c:v>-0.37004458037488863</c:v>
                </c:pt>
                <c:pt idx="344">
                  <c:v>0.80446198761614696</c:v>
                </c:pt>
                <c:pt idx="345">
                  <c:v>-0.61140369318559618</c:v>
                </c:pt>
                <c:pt idx="346">
                  <c:v>0.53257231593938226</c:v>
                </c:pt>
                <c:pt idx="347">
                  <c:v>-1.4515638922585339E-4</c:v>
                </c:pt>
                <c:pt idx="348">
                  <c:v>0.6171954757166489</c:v>
                </c:pt>
                <c:pt idx="349">
                  <c:v>-0.35509453773101907</c:v>
                </c:pt>
                <c:pt idx="350">
                  <c:v>2.4216342199156138E-2</c:v>
                </c:pt>
                <c:pt idx="351">
                  <c:v>7.5516298452743769E-2</c:v>
                </c:pt>
                <c:pt idx="352">
                  <c:v>0.45584848766438579</c:v>
                </c:pt>
                <c:pt idx="353">
                  <c:v>4.9755246515427842E-2</c:v>
                </c:pt>
                <c:pt idx="354">
                  <c:v>0.20612294060263991</c:v>
                </c:pt>
                <c:pt idx="355">
                  <c:v>0.31352889788241267</c:v>
                </c:pt>
                <c:pt idx="356">
                  <c:v>-0.54867969073320211</c:v>
                </c:pt>
                <c:pt idx="357">
                  <c:v>-0.59329339653378543</c:v>
                </c:pt>
                <c:pt idx="358">
                  <c:v>1.0980549280205469</c:v>
                </c:pt>
                <c:pt idx="359">
                  <c:v>-0.96332375522851343</c:v>
                </c:pt>
                <c:pt idx="360">
                  <c:v>0.86600081388295269</c:v>
                </c:pt>
                <c:pt idx="361">
                  <c:v>0.259458746797951</c:v>
                </c:pt>
                <c:pt idx="362">
                  <c:v>-0.28885547687672908</c:v>
                </c:pt>
                <c:pt idx="363">
                  <c:v>0.46271357518876899</c:v>
                </c:pt>
                <c:pt idx="364">
                  <c:v>-0.88793947880316448</c:v>
                </c:pt>
                <c:pt idx="365">
                  <c:v>-3.0709675272215797E-2</c:v>
                </c:pt>
                <c:pt idx="366">
                  <c:v>0.27789292910486907</c:v>
                </c:pt>
                <c:pt idx="367">
                  <c:v>0.59447248193314639</c:v>
                </c:pt>
                <c:pt idx="368">
                  <c:v>0.80983574507619593</c:v>
                </c:pt>
                <c:pt idx="369">
                  <c:v>0.14540418882421946</c:v>
                </c:pt>
                <c:pt idx="370">
                  <c:v>-0.57657378965888917</c:v>
                </c:pt>
                <c:pt idx="371">
                  <c:v>-4.4927176486943665E-2</c:v>
                </c:pt>
                <c:pt idx="372">
                  <c:v>-0.45326967003641805</c:v>
                </c:pt>
                <c:pt idx="373">
                  <c:v>-0.64981001332844546</c:v>
                </c:pt>
                <c:pt idx="374">
                  <c:v>-0.15543589833990978</c:v>
                </c:pt>
                <c:pt idx="375">
                  <c:v>0.43737352290477727</c:v>
                </c:pt>
                <c:pt idx="376">
                  <c:v>0.69251252684179754</c:v>
                </c:pt>
                <c:pt idx="377">
                  <c:v>0.6923337673118235</c:v>
                </c:pt>
                <c:pt idx="378">
                  <c:v>-0.71717495002309839</c:v>
                </c:pt>
                <c:pt idx="379">
                  <c:v>-0.16675959224596504</c:v>
                </c:pt>
                <c:pt idx="380">
                  <c:v>-0.1165968468234917</c:v>
                </c:pt>
                <c:pt idx="381">
                  <c:v>-0.18108124844906826</c:v>
                </c:pt>
                <c:pt idx="382">
                  <c:v>0.66946803663093135</c:v>
                </c:pt>
                <c:pt idx="383">
                  <c:v>0.88299986259323404</c:v>
                </c:pt>
                <c:pt idx="384">
                  <c:v>0.16966598806919464</c:v>
                </c:pt>
                <c:pt idx="385">
                  <c:v>-0.15521034460834482</c:v>
                </c:pt>
                <c:pt idx="386">
                  <c:v>0.95760754274121052</c:v>
                </c:pt>
                <c:pt idx="387">
                  <c:v>-0.40155396328518833</c:v>
                </c:pt>
                <c:pt idx="388">
                  <c:v>0.40080691525602585</c:v>
                </c:pt>
                <c:pt idx="389">
                  <c:v>-0.39813568044265679</c:v>
                </c:pt>
                <c:pt idx="390">
                  <c:v>-0.88494128319072329</c:v>
                </c:pt>
                <c:pt idx="391">
                  <c:v>-0.24696139031827702</c:v>
                </c:pt>
                <c:pt idx="392">
                  <c:v>-0.34482261798004998</c:v>
                </c:pt>
                <c:pt idx="393">
                  <c:v>0.34421655762989634</c:v>
                </c:pt>
                <c:pt idx="394">
                  <c:v>-2.386884654371535E-3</c:v>
                </c:pt>
                <c:pt idx="395">
                  <c:v>0.52388929752888558</c:v>
                </c:pt>
                <c:pt idx="396">
                  <c:v>0.70488851951338383</c:v>
                </c:pt>
                <c:pt idx="397">
                  <c:v>-2.5339785623953226E-2</c:v>
                </c:pt>
                <c:pt idx="398">
                  <c:v>-0.87768822615753006</c:v>
                </c:pt>
                <c:pt idx="399">
                  <c:v>-0.93882974482154591</c:v>
                </c:pt>
                <c:pt idx="400">
                  <c:v>0.73769244071874418</c:v>
                </c:pt>
                <c:pt idx="401">
                  <c:v>-0.54683089383651806</c:v>
                </c:pt>
                <c:pt idx="402">
                  <c:v>0.46641399276012852</c:v>
                </c:pt>
                <c:pt idx="403">
                  <c:v>0.70809734789063139</c:v>
                </c:pt>
                <c:pt idx="404">
                  <c:v>-1.0081619623694946</c:v>
                </c:pt>
                <c:pt idx="405">
                  <c:v>0.19046840237933438</c:v>
                </c:pt>
                <c:pt idx="406">
                  <c:v>0.77132537119883615</c:v>
                </c:pt>
                <c:pt idx="407">
                  <c:v>0.49656849032624173</c:v>
                </c:pt>
                <c:pt idx="408">
                  <c:v>-0.62551328403468531</c:v>
                </c:pt>
                <c:pt idx="409">
                  <c:v>0.97464968896783066</c:v>
                </c:pt>
                <c:pt idx="410">
                  <c:v>-3.1418451378288914E-2</c:v>
                </c:pt>
                <c:pt idx="411">
                  <c:v>0.51481062681524747</c:v>
                </c:pt>
                <c:pt idx="412">
                  <c:v>0.78829818082515501</c:v>
                </c:pt>
                <c:pt idx="413">
                  <c:v>0.89393810136429508</c:v>
                </c:pt>
                <c:pt idx="414">
                  <c:v>-0.77628383282331992</c:v>
                </c:pt>
                <c:pt idx="415">
                  <c:v>0.19228087282118089</c:v>
                </c:pt>
                <c:pt idx="416">
                  <c:v>0.92865983805956454</c:v>
                </c:pt>
                <c:pt idx="417">
                  <c:v>-0.84851085148389283</c:v>
                </c:pt>
                <c:pt idx="418">
                  <c:v>0.41717922178466704</c:v>
                </c:pt>
                <c:pt idx="419">
                  <c:v>4.6369188376567116E-2</c:v>
                </c:pt>
                <c:pt idx="420">
                  <c:v>0.51506551541954781</c:v>
                </c:pt>
                <c:pt idx="421">
                  <c:v>0.37372278106573553</c:v>
                </c:pt>
                <c:pt idx="422">
                  <c:v>-0.51231206898699089</c:v>
                </c:pt>
                <c:pt idx="423">
                  <c:v>0.69047379648656637</c:v>
                </c:pt>
                <c:pt idx="424">
                  <c:v>-1.1343333810237253</c:v>
                </c:pt>
                <c:pt idx="425">
                  <c:v>2.1049721518595632E-3</c:v>
                </c:pt>
                <c:pt idx="426">
                  <c:v>-0.72328618566385305</c:v>
                </c:pt>
                <c:pt idx="427">
                  <c:v>-0.28278056313532751</c:v>
                </c:pt>
                <c:pt idx="428">
                  <c:v>0.87144467778401946</c:v>
                </c:pt>
                <c:pt idx="429">
                  <c:v>-5.7289262243024552E-2</c:v>
                </c:pt>
                <c:pt idx="430">
                  <c:v>0.84008595466860125</c:v>
                </c:pt>
                <c:pt idx="431">
                  <c:v>0.77515586922075741</c:v>
                </c:pt>
                <c:pt idx="432">
                  <c:v>0.45358603863769265</c:v>
                </c:pt>
                <c:pt idx="433">
                  <c:v>0.29888628890604263</c:v>
                </c:pt>
                <c:pt idx="434">
                  <c:v>-0.1924469398913855</c:v>
                </c:pt>
                <c:pt idx="435">
                  <c:v>-0.84233669006260659</c:v>
                </c:pt>
                <c:pt idx="436">
                  <c:v>-0.96779319277758535</c:v>
                </c:pt>
                <c:pt idx="437">
                  <c:v>-0.51317253797092022</c:v>
                </c:pt>
                <c:pt idx="438">
                  <c:v>6.5584878210199982E-2</c:v>
                </c:pt>
                <c:pt idx="439">
                  <c:v>7.0180426345669567E-2</c:v>
                </c:pt>
                <c:pt idx="440">
                  <c:v>0.59193469223020756</c:v>
                </c:pt>
                <c:pt idx="441">
                  <c:v>0.24847428344482125</c:v>
                </c:pt>
                <c:pt idx="442">
                  <c:v>-0.62201039700627447</c:v>
                </c:pt>
                <c:pt idx="443">
                  <c:v>-0.13498321685831893</c:v>
                </c:pt>
                <c:pt idx="444">
                  <c:v>0.6688006873549508</c:v>
                </c:pt>
                <c:pt idx="445">
                  <c:v>0.50640083994107421</c:v>
                </c:pt>
                <c:pt idx="446">
                  <c:v>-3.0622941199982989E-2</c:v>
                </c:pt>
                <c:pt idx="447">
                  <c:v>-0.74989432316833593</c:v>
                </c:pt>
                <c:pt idx="448">
                  <c:v>4.8463125502755666E-2</c:v>
                </c:pt>
                <c:pt idx="449">
                  <c:v>-0.89883109072870937</c:v>
                </c:pt>
                <c:pt idx="450">
                  <c:v>5.1195606290083795E-2</c:v>
                </c:pt>
                <c:pt idx="451">
                  <c:v>-0.21188727929525975</c:v>
                </c:pt>
                <c:pt idx="452">
                  <c:v>-0.73236876688601527</c:v>
                </c:pt>
                <c:pt idx="453">
                  <c:v>0.66170249536204651</c:v>
                </c:pt>
                <c:pt idx="454">
                  <c:v>-0.17193363207314594</c:v>
                </c:pt>
                <c:pt idx="455">
                  <c:v>-0.73158543555105293</c:v>
                </c:pt>
                <c:pt idx="456">
                  <c:v>0.44378652182529166</c:v>
                </c:pt>
                <c:pt idx="457">
                  <c:v>0.42879851103330058</c:v>
                </c:pt>
                <c:pt idx="458">
                  <c:v>0.44385235968429804</c:v>
                </c:pt>
                <c:pt idx="459">
                  <c:v>-0.61542040807473608</c:v>
                </c:pt>
                <c:pt idx="460">
                  <c:v>9.5107265218543624E-2</c:v>
                </c:pt>
                <c:pt idx="461">
                  <c:v>-8.4384477499301447E-2</c:v>
                </c:pt>
                <c:pt idx="462">
                  <c:v>2.4369502119474085E-2</c:v>
                </c:pt>
                <c:pt idx="463">
                  <c:v>-7.303086378764867E-3</c:v>
                </c:pt>
                <c:pt idx="464">
                  <c:v>-0.37990641103555678</c:v>
                </c:pt>
                <c:pt idx="465">
                  <c:v>-0.24888135086381524</c:v>
                </c:pt>
                <c:pt idx="466">
                  <c:v>-3.5606340651072266E-2</c:v>
                </c:pt>
                <c:pt idx="467">
                  <c:v>-0.94487020285226953</c:v>
                </c:pt>
                <c:pt idx="468">
                  <c:v>0.87403541178720889</c:v>
                </c:pt>
                <c:pt idx="469">
                  <c:v>0.90418388645758885</c:v>
                </c:pt>
                <c:pt idx="470">
                  <c:v>-0.15399891764431661</c:v>
                </c:pt>
                <c:pt idx="471">
                  <c:v>0.86622031178408321</c:v>
                </c:pt>
                <c:pt idx="472">
                  <c:v>0.48943119508464772</c:v>
                </c:pt>
                <c:pt idx="473">
                  <c:v>3.7138667671868575E-2</c:v>
                </c:pt>
                <c:pt idx="474">
                  <c:v>0.23862700882117593</c:v>
                </c:pt>
                <c:pt idx="475">
                  <c:v>0.56649193832882627</c:v>
                </c:pt>
                <c:pt idx="476">
                  <c:v>0.2193906370929084</c:v>
                </c:pt>
                <c:pt idx="477">
                  <c:v>0.32312536365901057</c:v>
                </c:pt>
                <c:pt idx="478">
                  <c:v>0.62202907141108543</c:v>
                </c:pt>
                <c:pt idx="479">
                  <c:v>-0.40565807286329125</c:v>
                </c:pt>
                <c:pt idx="480">
                  <c:v>0.32081892663352995</c:v>
                </c:pt>
                <c:pt idx="481">
                  <c:v>0.4852034767182456</c:v>
                </c:pt>
                <c:pt idx="482">
                  <c:v>0.27883615864997147</c:v>
                </c:pt>
                <c:pt idx="483">
                  <c:v>-0.53014449719356893</c:v>
                </c:pt>
                <c:pt idx="484">
                  <c:v>0.35885019499641491</c:v>
                </c:pt>
                <c:pt idx="485">
                  <c:v>-0.71024907388517544</c:v>
                </c:pt>
                <c:pt idx="486">
                  <c:v>0.69812505510701772</c:v>
                </c:pt>
                <c:pt idx="487">
                  <c:v>-0.13135449955383693</c:v>
                </c:pt>
                <c:pt idx="488">
                  <c:v>-0.16921589272419801</c:v>
                </c:pt>
                <c:pt idx="489">
                  <c:v>-0.28347412763818713</c:v>
                </c:pt>
                <c:pt idx="490">
                  <c:v>0.85460384757505103</c:v>
                </c:pt>
                <c:pt idx="491">
                  <c:v>-0.38900956862867542</c:v>
                </c:pt>
                <c:pt idx="492">
                  <c:v>0.41371856515985783</c:v>
                </c:pt>
                <c:pt idx="493">
                  <c:v>0.1679715752911255</c:v>
                </c:pt>
                <c:pt idx="494">
                  <c:v>0.86218663708286947</c:v>
                </c:pt>
                <c:pt idx="495">
                  <c:v>2.6817212625716458E-2</c:v>
                </c:pt>
                <c:pt idx="496">
                  <c:v>-0.41722550766878808</c:v>
                </c:pt>
                <c:pt idx="497">
                  <c:v>0.23316628786286753</c:v>
                </c:pt>
                <c:pt idx="498">
                  <c:v>0.88746672312392771</c:v>
                </c:pt>
                <c:pt idx="499">
                  <c:v>-0.13998136111963611</c:v>
                </c:pt>
              </c:numCache>
            </c:numRef>
          </c:yVal>
          <c:smooth val="0"/>
          <c:extLst>
            <c:ext xmlns:c16="http://schemas.microsoft.com/office/drawing/2014/chart" uri="{C3380CC4-5D6E-409C-BE32-E72D297353CC}">
              <c16:uniqueId val="{00000003-BAC9-49AF-B5A8-023F74C41D7B}"/>
            </c:ext>
          </c:extLst>
        </c:ser>
        <c:dLbls>
          <c:showLegendKey val="0"/>
          <c:showVal val="0"/>
          <c:showCatName val="0"/>
          <c:showSerName val="0"/>
          <c:showPercent val="0"/>
          <c:showBubbleSize val="0"/>
        </c:dLbls>
        <c:axId val="1779235328"/>
        <c:axId val="1551660176"/>
      </c:scatterChart>
      <c:valAx>
        <c:axId val="1779235328"/>
        <c:scaling>
          <c:orientation val="minMax"/>
        </c:scaling>
        <c:delete val="0"/>
        <c:axPos val="b"/>
        <c:title>
          <c:tx>
            <c:rich>
              <a:bodyPr/>
              <a:lstStyle/>
              <a:p>
                <a:pPr>
                  <a:defRPr/>
                </a:pPr>
                <a:r>
                  <a:rPr lang="en-IN"/>
                  <a:t>First Time Buyer? (1=Yes, 0=No)</a:t>
                </a:r>
              </a:p>
            </c:rich>
          </c:tx>
          <c:overlay val="0"/>
        </c:title>
        <c:numFmt formatCode="General" sourceLinked="1"/>
        <c:majorTickMark val="out"/>
        <c:minorTickMark val="none"/>
        <c:tickLblPos val="nextTo"/>
        <c:crossAx val="1551660176"/>
        <c:crosses val="autoZero"/>
        <c:crossBetween val="midCat"/>
      </c:valAx>
      <c:valAx>
        <c:axId val="1551660176"/>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779235328"/>
        <c:crosses val="autoZero"/>
        <c:crossBetween val="midCat"/>
      </c:valAx>
    </c:plotArea>
    <c:plotVisOnly val="0"/>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LTV</a:t>
            </a:r>
            <a:r>
              <a:rPr lang="en-IN" baseline="0"/>
              <a:t> and INTEREST RATE</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Data!$S$7</c:f>
              <c:strCache>
                <c:ptCount val="1"/>
                <c:pt idx="0">
                  <c:v>Interest rate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34925" cap="rnd">
                <a:solidFill>
                  <a:srgbClr val="FF0000"/>
                </a:solidFill>
                <a:prstDash val="solid"/>
                <a:tailEnd type="triangle"/>
              </a:ln>
              <a:effectLst/>
            </c:spPr>
            <c:trendlineType val="linear"/>
            <c:dispRSqr val="0"/>
            <c:dispEq val="0"/>
          </c:trendline>
          <c:xVal>
            <c:numRef>
              <c:f>Data!$O$8:$O$507</c:f>
              <c:numCache>
                <c:formatCode>General</c:formatCode>
                <c:ptCount val="500"/>
                <c:pt idx="0">
                  <c:v>50.649350649350602</c:v>
                </c:pt>
                <c:pt idx="1">
                  <c:v>94.392523364485982</c:v>
                </c:pt>
                <c:pt idx="2">
                  <c:v>28.000000000000004</c:v>
                </c:pt>
                <c:pt idx="3">
                  <c:v>51.879699248120303</c:v>
                </c:pt>
                <c:pt idx="4">
                  <c:v>80.246913580246911</c:v>
                </c:pt>
                <c:pt idx="5">
                  <c:v>71.270718232044189</c:v>
                </c:pt>
                <c:pt idx="6">
                  <c:v>83.15789473684211</c:v>
                </c:pt>
                <c:pt idx="7">
                  <c:v>58.490566037735846</c:v>
                </c:pt>
                <c:pt idx="8">
                  <c:v>40.659340659340657</c:v>
                </c:pt>
                <c:pt idx="9">
                  <c:v>66.355140186915889</c:v>
                </c:pt>
                <c:pt idx="10">
                  <c:v>77.215189873417728</c:v>
                </c:pt>
                <c:pt idx="11">
                  <c:v>78.494623655913969</c:v>
                </c:pt>
                <c:pt idx="12">
                  <c:v>50.993377483443716</c:v>
                </c:pt>
                <c:pt idx="13">
                  <c:v>76.146788990825684</c:v>
                </c:pt>
                <c:pt idx="14">
                  <c:v>80.104712041884824</c:v>
                </c:pt>
                <c:pt idx="15">
                  <c:v>45.454545454545453</c:v>
                </c:pt>
                <c:pt idx="16">
                  <c:v>66.400000000000006</c:v>
                </c:pt>
                <c:pt idx="17">
                  <c:v>56.862745098039213</c:v>
                </c:pt>
                <c:pt idx="18">
                  <c:v>79.831932773109244</c:v>
                </c:pt>
                <c:pt idx="19">
                  <c:v>66.88741721854305</c:v>
                </c:pt>
                <c:pt idx="20">
                  <c:v>72.093023255813947</c:v>
                </c:pt>
                <c:pt idx="21">
                  <c:v>77.049180327868854</c:v>
                </c:pt>
                <c:pt idx="22">
                  <c:v>78.761061946902657</c:v>
                </c:pt>
                <c:pt idx="23">
                  <c:v>74.436090225563916</c:v>
                </c:pt>
                <c:pt idx="24">
                  <c:v>78.378378378378372</c:v>
                </c:pt>
                <c:pt idx="25">
                  <c:v>79.66101694915254</c:v>
                </c:pt>
                <c:pt idx="26">
                  <c:v>21.212121212121211</c:v>
                </c:pt>
                <c:pt idx="27">
                  <c:v>92.592592592592595</c:v>
                </c:pt>
                <c:pt idx="28">
                  <c:v>70.491803278688522</c:v>
                </c:pt>
                <c:pt idx="29">
                  <c:v>72.027972027972027</c:v>
                </c:pt>
                <c:pt idx="30">
                  <c:v>90.476190476190482</c:v>
                </c:pt>
                <c:pt idx="31">
                  <c:v>92</c:v>
                </c:pt>
                <c:pt idx="32">
                  <c:v>80.327868852459019</c:v>
                </c:pt>
                <c:pt idx="33">
                  <c:v>60.493827160493829</c:v>
                </c:pt>
                <c:pt idx="34">
                  <c:v>79.130434782608688</c:v>
                </c:pt>
                <c:pt idx="35">
                  <c:v>79.487179487179489</c:v>
                </c:pt>
                <c:pt idx="36">
                  <c:v>77.528089887640448</c:v>
                </c:pt>
                <c:pt idx="37">
                  <c:v>89.473684210526315</c:v>
                </c:pt>
                <c:pt idx="38">
                  <c:v>60.493827160493829</c:v>
                </c:pt>
                <c:pt idx="39">
                  <c:v>70.370370370370367</c:v>
                </c:pt>
                <c:pt idx="40">
                  <c:v>56.521739130434781</c:v>
                </c:pt>
                <c:pt idx="41">
                  <c:v>82.608695652173907</c:v>
                </c:pt>
                <c:pt idx="42">
                  <c:v>79.831932773109244</c:v>
                </c:pt>
                <c:pt idx="43">
                  <c:v>52</c:v>
                </c:pt>
                <c:pt idx="44">
                  <c:v>74.358974358974365</c:v>
                </c:pt>
                <c:pt idx="45">
                  <c:v>73.770491803278688</c:v>
                </c:pt>
                <c:pt idx="46">
                  <c:v>66.315789473684205</c:v>
                </c:pt>
                <c:pt idx="47">
                  <c:v>80.392156862745097</c:v>
                </c:pt>
                <c:pt idx="48">
                  <c:v>57.377049180327866</c:v>
                </c:pt>
                <c:pt idx="49">
                  <c:v>94.029850746268664</c:v>
                </c:pt>
                <c:pt idx="50">
                  <c:v>82.608695652173907</c:v>
                </c:pt>
                <c:pt idx="51">
                  <c:v>91.780821917808225</c:v>
                </c:pt>
                <c:pt idx="52">
                  <c:v>85.91549295774648</c:v>
                </c:pt>
                <c:pt idx="53">
                  <c:v>72.41379310344827</c:v>
                </c:pt>
                <c:pt idx="54">
                  <c:v>55.339805825242713</c:v>
                </c:pt>
                <c:pt idx="55">
                  <c:v>80.219780219780219</c:v>
                </c:pt>
                <c:pt idx="56">
                  <c:v>86.885245901639337</c:v>
                </c:pt>
                <c:pt idx="57">
                  <c:v>53.271028037383175</c:v>
                </c:pt>
                <c:pt idx="58">
                  <c:v>49.333333333333336</c:v>
                </c:pt>
                <c:pt idx="59">
                  <c:v>71.428571428571431</c:v>
                </c:pt>
                <c:pt idx="60">
                  <c:v>74.468085106382972</c:v>
                </c:pt>
                <c:pt idx="61">
                  <c:v>73.134328358208961</c:v>
                </c:pt>
                <c:pt idx="62">
                  <c:v>60.62176165803109</c:v>
                </c:pt>
                <c:pt idx="63">
                  <c:v>64.705882352941174</c:v>
                </c:pt>
                <c:pt idx="64">
                  <c:v>86.666666666666671</c:v>
                </c:pt>
                <c:pt idx="65">
                  <c:v>74.683544303797461</c:v>
                </c:pt>
                <c:pt idx="66">
                  <c:v>71.014492753623188</c:v>
                </c:pt>
                <c:pt idx="67">
                  <c:v>74.803149606299215</c:v>
                </c:pt>
                <c:pt idx="68">
                  <c:v>78.082191780821915</c:v>
                </c:pt>
                <c:pt idx="69">
                  <c:v>63.636363636363633</c:v>
                </c:pt>
                <c:pt idx="70">
                  <c:v>64.071856287425149</c:v>
                </c:pt>
                <c:pt idx="71">
                  <c:v>70.909090909090907</c:v>
                </c:pt>
                <c:pt idx="72">
                  <c:v>57.225433526011557</c:v>
                </c:pt>
                <c:pt idx="73">
                  <c:v>58.865248226950349</c:v>
                </c:pt>
                <c:pt idx="74">
                  <c:v>84.158415841584159</c:v>
                </c:pt>
                <c:pt idx="75">
                  <c:v>72.151898734177209</c:v>
                </c:pt>
                <c:pt idx="76">
                  <c:v>65.269461077844312</c:v>
                </c:pt>
                <c:pt idx="77">
                  <c:v>68.831168831168839</c:v>
                </c:pt>
                <c:pt idx="78">
                  <c:v>50.785340314136128</c:v>
                </c:pt>
                <c:pt idx="79">
                  <c:v>52.112676056338024</c:v>
                </c:pt>
                <c:pt idx="80">
                  <c:v>40.206185567010309</c:v>
                </c:pt>
                <c:pt idx="81">
                  <c:v>78.181818181818187</c:v>
                </c:pt>
                <c:pt idx="82">
                  <c:v>85.454545454545453</c:v>
                </c:pt>
                <c:pt idx="83">
                  <c:v>77.777777777777786</c:v>
                </c:pt>
                <c:pt idx="84">
                  <c:v>50.753768844221106</c:v>
                </c:pt>
                <c:pt idx="85">
                  <c:v>73.134328358208961</c:v>
                </c:pt>
                <c:pt idx="86">
                  <c:v>62.711864406779661</c:v>
                </c:pt>
                <c:pt idx="87">
                  <c:v>81.333333333333329</c:v>
                </c:pt>
                <c:pt idx="88">
                  <c:v>68.421052631578945</c:v>
                </c:pt>
                <c:pt idx="89">
                  <c:v>53.642384105960261</c:v>
                </c:pt>
                <c:pt idx="90">
                  <c:v>88.764044943820224</c:v>
                </c:pt>
                <c:pt idx="91">
                  <c:v>70.114942528735639</c:v>
                </c:pt>
                <c:pt idx="92">
                  <c:v>67.058823529411754</c:v>
                </c:pt>
                <c:pt idx="93">
                  <c:v>88.764044943820224</c:v>
                </c:pt>
                <c:pt idx="94">
                  <c:v>26.760563380281688</c:v>
                </c:pt>
                <c:pt idx="95">
                  <c:v>74.257425742574256</c:v>
                </c:pt>
                <c:pt idx="96">
                  <c:v>92.592592592592595</c:v>
                </c:pt>
                <c:pt idx="97">
                  <c:v>62.711864406779661</c:v>
                </c:pt>
                <c:pt idx="98">
                  <c:v>96.078431372549019</c:v>
                </c:pt>
                <c:pt idx="99">
                  <c:v>61.29032258064516</c:v>
                </c:pt>
                <c:pt idx="100">
                  <c:v>34.42622950819672</c:v>
                </c:pt>
                <c:pt idx="101">
                  <c:v>89.473684210526315</c:v>
                </c:pt>
                <c:pt idx="102">
                  <c:v>44.723618090452263</c:v>
                </c:pt>
                <c:pt idx="103">
                  <c:v>72.277227722772281</c:v>
                </c:pt>
                <c:pt idx="104">
                  <c:v>78.94736842105263</c:v>
                </c:pt>
                <c:pt idx="105">
                  <c:v>78.723404255319153</c:v>
                </c:pt>
                <c:pt idx="106">
                  <c:v>79.66101694915254</c:v>
                </c:pt>
                <c:pt idx="107">
                  <c:v>72.277227722772281</c:v>
                </c:pt>
                <c:pt idx="108">
                  <c:v>80.246913580246911</c:v>
                </c:pt>
                <c:pt idx="109">
                  <c:v>71.084337349397586</c:v>
                </c:pt>
                <c:pt idx="110">
                  <c:v>82.456140350877192</c:v>
                </c:pt>
                <c:pt idx="111">
                  <c:v>82.089552238805979</c:v>
                </c:pt>
                <c:pt idx="112">
                  <c:v>63.934426229508205</c:v>
                </c:pt>
                <c:pt idx="113">
                  <c:v>77.952755905511808</c:v>
                </c:pt>
                <c:pt idx="114">
                  <c:v>34.470989761092156</c:v>
                </c:pt>
                <c:pt idx="115">
                  <c:v>77.215189873417728</c:v>
                </c:pt>
                <c:pt idx="116">
                  <c:v>80.952380952380949</c:v>
                </c:pt>
                <c:pt idx="117">
                  <c:v>70.992366412213741</c:v>
                </c:pt>
                <c:pt idx="118">
                  <c:v>64.444444444444443</c:v>
                </c:pt>
                <c:pt idx="119">
                  <c:v>81.132075471698116</c:v>
                </c:pt>
                <c:pt idx="120">
                  <c:v>77.391304347826079</c:v>
                </c:pt>
                <c:pt idx="121">
                  <c:v>68.674698795180717</c:v>
                </c:pt>
                <c:pt idx="122">
                  <c:v>31.46853146853147</c:v>
                </c:pt>
                <c:pt idx="123">
                  <c:v>92.156862745098039</c:v>
                </c:pt>
                <c:pt idx="124">
                  <c:v>80.487804878048792</c:v>
                </c:pt>
                <c:pt idx="125">
                  <c:v>90.163934426229503</c:v>
                </c:pt>
                <c:pt idx="126">
                  <c:v>72.307692307692307</c:v>
                </c:pt>
                <c:pt idx="127">
                  <c:v>78.82352941176471</c:v>
                </c:pt>
                <c:pt idx="128">
                  <c:v>73.033707865168537</c:v>
                </c:pt>
                <c:pt idx="129">
                  <c:v>82.608695652173907</c:v>
                </c:pt>
                <c:pt idx="130">
                  <c:v>55.905511811023622</c:v>
                </c:pt>
                <c:pt idx="131">
                  <c:v>64.705882352941174</c:v>
                </c:pt>
                <c:pt idx="132">
                  <c:v>79.797979797979806</c:v>
                </c:pt>
                <c:pt idx="133">
                  <c:v>38.461538461538467</c:v>
                </c:pt>
                <c:pt idx="134">
                  <c:v>79.310344827586206</c:v>
                </c:pt>
                <c:pt idx="135">
                  <c:v>70.642201834862391</c:v>
                </c:pt>
                <c:pt idx="136">
                  <c:v>45.454545454545453</c:v>
                </c:pt>
                <c:pt idx="137">
                  <c:v>87.654320987654316</c:v>
                </c:pt>
                <c:pt idx="138">
                  <c:v>45.945945945945951</c:v>
                </c:pt>
                <c:pt idx="139">
                  <c:v>54.455445544554458</c:v>
                </c:pt>
                <c:pt idx="140">
                  <c:v>67.832167832167841</c:v>
                </c:pt>
                <c:pt idx="141">
                  <c:v>78.723404255319153</c:v>
                </c:pt>
                <c:pt idx="142">
                  <c:v>55.371900826446286</c:v>
                </c:pt>
                <c:pt idx="143">
                  <c:v>58.762886597938149</c:v>
                </c:pt>
                <c:pt idx="144">
                  <c:v>51.724137931034484</c:v>
                </c:pt>
                <c:pt idx="145">
                  <c:v>19.254658385093169</c:v>
                </c:pt>
                <c:pt idx="146">
                  <c:v>72.815533980582529</c:v>
                </c:pt>
                <c:pt idx="147">
                  <c:v>49.677419354838712</c:v>
                </c:pt>
                <c:pt idx="148">
                  <c:v>70.212765957446805</c:v>
                </c:pt>
                <c:pt idx="149">
                  <c:v>72.093023255813947</c:v>
                </c:pt>
                <c:pt idx="150">
                  <c:v>52.72727272727272</c:v>
                </c:pt>
                <c:pt idx="151">
                  <c:v>77.777777777777786</c:v>
                </c:pt>
                <c:pt idx="152">
                  <c:v>71.428571428571431</c:v>
                </c:pt>
                <c:pt idx="153">
                  <c:v>82.456140350877192</c:v>
                </c:pt>
                <c:pt idx="154">
                  <c:v>94.871794871794862</c:v>
                </c:pt>
                <c:pt idx="155">
                  <c:v>82.456140350877192</c:v>
                </c:pt>
                <c:pt idx="156">
                  <c:v>62.264150943396224</c:v>
                </c:pt>
                <c:pt idx="157">
                  <c:v>60.629921259842526</c:v>
                </c:pt>
                <c:pt idx="158">
                  <c:v>46.564885496183209</c:v>
                </c:pt>
                <c:pt idx="159">
                  <c:v>70.731707317073173</c:v>
                </c:pt>
                <c:pt idx="160">
                  <c:v>70.212765957446805</c:v>
                </c:pt>
                <c:pt idx="161">
                  <c:v>65.079365079365076</c:v>
                </c:pt>
                <c:pt idx="162">
                  <c:v>31.606217616580313</c:v>
                </c:pt>
                <c:pt idx="163">
                  <c:v>57.2139303482587</c:v>
                </c:pt>
                <c:pt idx="164">
                  <c:v>58.441558441558442</c:v>
                </c:pt>
                <c:pt idx="165">
                  <c:v>79.710144927536234</c:v>
                </c:pt>
                <c:pt idx="166">
                  <c:v>79.310344827586206</c:v>
                </c:pt>
                <c:pt idx="167">
                  <c:v>41.436464088397791</c:v>
                </c:pt>
                <c:pt idx="168">
                  <c:v>57.446808510638306</c:v>
                </c:pt>
                <c:pt idx="169">
                  <c:v>56.862745098039213</c:v>
                </c:pt>
                <c:pt idx="170">
                  <c:v>95.180722891566262</c:v>
                </c:pt>
                <c:pt idx="171">
                  <c:v>79.104477611940297</c:v>
                </c:pt>
                <c:pt idx="172">
                  <c:v>94.666666666666671</c:v>
                </c:pt>
                <c:pt idx="173">
                  <c:v>73.333333333333329</c:v>
                </c:pt>
                <c:pt idx="174">
                  <c:v>78.761061946902657</c:v>
                </c:pt>
                <c:pt idx="175">
                  <c:v>69.072164948453604</c:v>
                </c:pt>
                <c:pt idx="176">
                  <c:v>74.603174603174608</c:v>
                </c:pt>
                <c:pt idx="177">
                  <c:v>66.451612903225808</c:v>
                </c:pt>
                <c:pt idx="178">
                  <c:v>56.8</c:v>
                </c:pt>
                <c:pt idx="179">
                  <c:v>67.088607594936718</c:v>
                </c:pt>
                <c:pt idx="180">
                  <c:v>48.936170212765958</c:v>
                </c:pt>
                <c:pt idx="181">
                  <c:v>34.640522875816991</c:v>
                </c:pt>
                <c:pt idx="182">
                  <c:v>54.385964912280706</c:v>
                </c:pt>
                <c:pt idx="183">
                  <c:v>69.811320754716974</c:v>
                </c:pt>
                <c:pt idx="184">
                  <c:v>75.384615384615387</c:v>
                </c:pt>
                <c:pt idx="185">
                  <c:v>47.107438016528924</c:v>
                </c:pt>
                <c:pt idx="186">
                  <c:v>54.716981132075468</c:v>
                </c:pt>
                <c:pt idx="187">
                  <c:v>93.442622950819683</c:v>
                </c:pt>
                <c:pt idx="188">
                  <c:v>53.153153153153156</c:v>
                </c:pt>
                <c:pt idx="189">
                  <c:v>81.132075471698116</c:v>
                </c:pt>
                <c:pt idx="190">
                  <c:v>79.104477611940297</c:v>
                </c:pt>
                <c:pt idx="191">
                  <c:v>45.454545454545453</c:v>
                </c:pt>
                <c:pt idx="192">
                  <c:v>74.358974358974365</c:v>
                </c:pt>
                <c:pt idx="193">
                  <c:v>78.461538461538467</c:v>
                </c:pt>
                <c:pt idx="194">
                  <c:v>61.29032258064516</c:v>
                </c:pt>
                <c:pt idx="195">
                  <c:v>74.193548387096769</c:v>
                </c:pt>
                <c:pt idx="196">
                  <c:v>54.455445544554458</c:v>
                </c:pt>
                <c:pt idx="197">
                  <c:v>77.528089887640448</c:v>
                </c:pt>
                <c:pt idx="198">
                  <c:v>42.690058479532162</c:v>
                </c:pt>
                <c:pt idx="199">
                  <c:v>78.378378378378372</c:v>
                </c:pt>
                <c:pt idx="200">
                  <c:v>56.09756097560976</c:v>
                </c:pt>
                <c:pt idx="201">
                  <c:v>74.358974358974365</c:v>
                </c:pt>
                <c:pt idx="202">
                  <c:v>74.358974358974365</c:v>
                </c:pt>
                <c:pt idx="203">
                  <c:v>40.659340659340657</c:v>
                </c:pt>
                <c:pt idx="204">
                  <c:v>69.230769230769226</c:v>
                </c:pt>
                <c:pt idx="205">
                  <c:v>51.724137931034484</c:v>
                </c:pt>
                <c:pt idx="206">
                  <c:v>77.011494252873561</c:v>
                </c:pt>
                <c:pt idx="207">
                  <c:v>43.19526627218935</c:v>
                </c:pt>
                <c:pt idx="208">
                  <c:v>73.584905660377359</c:v>
                </c:pt>
                <c:pt idx="209">
                  <c:v>66.315789473684205</c:v>
                </c:pt>
                <c:pt idx="210">
                  <c:v>68</c:v>
                </c:pt>
                <c:pt idx="211">
                  <c:v>94.059405940594047</c:v>
                </c:pt>
                <c:pt idx="212">
                  <c:v>65.517241379310349</c:v>
                </c:pt>
                <c:pt idx="213">
                  <c:v>73.033707865168537</c:v>
                </c:pt>
                <c:pt idx="214">
                  <c:v>74.257425742574256</c:v>
                </c:pt>
                <c:pt idx="215">
                  <c:v>72.881355932203391</c:v>
                </c:pt>
                <c:pt idx="216">
                  <c:v>63.451776649746193</c:v>
                </c:pt>
                <c:pt idx="217">
                  <c:v>67.567567567567565</c:v>
                </c:pt>
                <c:pt idx="218">
                  <c:v>70.078740157480311</c:v>
                </c:pt>
                <c:pt idx="219">
                  <c:v>78.378378378378372</c:v>
                </c:pt>
                <c:pt idx="220">
                  <c:v>80.392156862745097</c:v>
                </c:pt>
                <c:pt idx="221">
                  <c:v>82.978723404255319</c:v>
                </c:pt>
                <c:pt idx="222">
                  <c:v>66.917293233082702</c:v>
                </c:pt>
                <c:pt idx="223">
                  <c:v>79.310344827586206</c:v>
                </c:pt>
                <c:pt idx="224">
                  <c:v>100</c:v>
                </c:pt>
                <c:pt idx="225">
                  <c:v>52.317880794701985</c:v>
                </c:pt>
                <c:pt idx="226">
                  <c:v>73.509933774834437</c:v>
                </c:pt>
                <c:pt idx="227">
                  <c:v>94.20289855072464</c:v>
                </c:pt>
                <c:pt idx="228">
                  <c:v>69.655172413793096</c:v>
                </c:pt>
                <c:pt idx="229">
                  <c:v>51.243781094527364</c:v>
                </c:pt>
                <c:pt idx="230">
                  <c:v>65.289256198347118</c:v>
                </c:pt>
                <c:pt idx="231">
                  <c:v>37.336814621409921</c:v>
                </c:pt>
                <c:pt idx="232">
                  <c:v>58.208955223880601</c:v>
                </c:pt>
                <c:pt idx="233">
                  <c:v>62.318840579710141</c:v>
                </c:pt>
                <c:pt idx="234">
                  <c:v>51.401869158878498</c:v>
                </c:pt>
                <c:pt idx="235">
                  <c:v>28.421052631578945</c:v>
                </c:pt>
                <c:pt idx="236">
                  <c:v>69.230769230769226</c:v>
                </c:pt>
                <c:pt idx="237">
                  <c:v>39.130434782608695</c:v>
                </c:pt>
                <c:pt idx="238">
                  <c:v>90.839694656488547</c:v>
                </c:pt>
                <c:pt idx="239">
                  <c:v>84.615384615384613</c:v>
                </c:pt>
                <c:pt idx="240">
                  <c:v>95.121951219512198</c:v>
                </c:pt>
                <c:pt idx="241">
                  <c:v>84</c:v>
                </c:pt>
                <c:pt idx="242">
                  <c:v>68.361581920903959</c:v>
                </c:pt>
                <c:pt idx="243">
                  <c:v>70.491803278688522</c:v>
                </c:pt>
                <c:pt idx="244">
                  <c:v>73.134328358208961</c:v>
                </c:pt>
                <c:pt idx="245">
                  <c:v>86.516853932584269</c:v>
                </c:pt>
                <c:pt idx="246">
                  <c:v>66.037735849056602</c:v>
                </c:pt>
                <c:pt idx="247">
                  <c:v>79.310344827586206</c:v>
                </c:pt>
                <c:pt idx="248">
                  <c:v>92.452830188679243</c:v>
                </c:pt>
                <c:pt idx="249">
                  <c:v>24.840764331210192</c:v>
                </c:pt>
                <c:pt idx="250">
                  <c:v>54.098360655737707</c:v>
                </c:pt>
                <c:pt idx="251">
                  <c:v>69.863013698630141</c:v>
                </c:pt>
                <c:pt idx="252">
                  <c:v>79.43925233644859</c:v>
                </c:pt>
                <c:pt idx="253">
                  <c:v>90.804597701149419</c:v>
                </c:pt>
                <c:pt idx="254">
                  <c:v>80.246913580246911</c:v>
                </c:pt>
                <c:pt idx="255">
                  <c:v>63.380281690140848</c:v>
                </c:pt>
                <c:pt idx="256">
                  <c:v>71.851851851851862</c:v>
                </c:pt>
                <c:pt idx="257">
                  <c:v>87.096774193548384</c:v>
                </c:pt>
                <c:pt idx="258">
                  <c:v>11.111111111111111</c:v>
                </c:pt>
                <c:pt idx="259">
                  <c:v>80.392156862745097</c:v>
                </c:pt>
                <c:pt idx="260">
                  <c:v>78.94736842105263</c:v>
                </c:pt>
                <c:pt idx="261">
                  <c:v>34.219269102990033</c:v>
                </c:pt>
                <c:pt idx="262">
                  <c:v>74.545454545454547</c:v>
                </c:pt>
                <c:pt idx="263">
                  <c:v>89.830508474576277</c:v>
                </c:pt>
                <c:pt idx="264">
                  <c:v>46.206896551724135</c:v>
                </c:pt>
                <c:pt idx="265">
                  <c:v>80.132450331125824</c:v>
                </c:pt>
                <c:pt idx="266">
                  <c:v>36.585365853658537</c:v>
                </c:pt>
                <c:pt idx="267">
                  <c:v>69.863013698630141</c:v>
                </c:pt>
                <c:pt idx="268">
                  <c:v>77.777777777777786</c:v>
                </c:pt>
                <c:pt idx="269">
                  <c:v>71.014492753623188</c:v>
                </c:pt>
                <c:pt idx="270">
                  <c:v>78.94736842105263</c:v>
                </c:pt>
                <c:pt idx="271">
                  <c:v>74.774774774774784</c:v>
                </c:pt>
                <c:pt idx="272">
                  <c:v>92.452830188679243</c:v>
                </c:pt>
                <c:pt idx="273">
                  <c:v>94.285714285714278</c:v>
                </c:pt>
                <c:pt idx="274">
                  <c:v>68</c:v>
                </c:pt>
                <c:pt idx="275">
                  <c:v>84.905660377358487</c:v>
                </c:pt>
                <c:pt idx="276">
                  <c:v>74.436090225563916</c:v>
                </c:pt>
                <c:pt idx="277">
                  <c:v>51.648351648351657</c:v>
                </c:pt>
                <c:pt idx="278">
                  <c:v>74.603174603174608</c:v>
                </c:pt>
                <c:pt idx="279">
                  <c:v>87.2340425531915</c:v>
                </c:pt>
                <c:pt idx="280">
                  <c:v>84</c:v>
                </c:pt>
                <c:pt idx="281">
                  <c:v>65.957446808510639</c:v>
                </c:pt>
                <c:pt idx="282">
                  <c:v>60.655737704918032</c:v>
                </c:pt>
                <c:pt idx="283">
                  <c:v>88.235294117647058</c:v>
                </c:pt>
                <c:pt idx="284">
                  <c:v>93.548387096774192</c:v>
                </c:pt>
                <c:pt idx="285">
                  <c:v>74.545454545454547</c:v>
                </c:pt>
                <c:pt idx="286">
                  <c:v>86.813186813186817</c:v>
                </c:pt>
                <c:pt idx="287">
                  <c:v>59.183673469387756</c:v>
                </c:pt>
                <c:pt idx="288">
                  <c:v>78.94736842105263</c:v>
                </c:pt>
                <c:pt idx="289">
                  <c:v>71.084337349397586</c:v>
                </c:pt>
                <c:pt idx="290">
                  <c:v>47.826086956521742</c:v>
                </c:pt>
                <c:pt idx="291">
                  <c:v>93.103448275862064</c:v>
                </c:pt>
                <c:pt idx="292">
                  <c:v>69.014084507042256</c:v>
                </c:pt>
                <c:pt idx="293">
                  <c:v>77.142857142857153</c:v>
                </c:pt>
                <c:pt idx="294">
                  <c:v>73.643410852713174</c:v>
                </c:pt>
                <c:pt idx="295">
                  <c:v>83.050847457627114</c:v>
                </c:pt>
                <c:pt idx="296">
                  <c:v>78.378378378378372</c:v>
                </c:pt>
                <c:pt idx="297">
                  <c:v>89.189189189189193</c:v>
                </c:pt>
                <c:pt idx="298">
                  <c:v>78.313253012048193</c:v>
                </c:pt>
                <c:pt idx="299">
                  <c:v>95.744680851063833</c:v>
                </c:pt>
                <c:pt idx="300">
                  <c:v>77.464788732394368</c:v>
                </c:pt>
                <c:pt idx="301">
                  <c:v>84.905660377358487</c:v>
                </c:pt>
                <c:pt idx="302">
                  <c:v>48.672566371681413</c:v>
                </c:pt>
                <c:pt idx="303">
                  <c:v>47.692307692307693</c:v>
                </c:pt>
                <c:pt idx="304">
                  <c:v>85.507246376811594</c:v>
                </c:pt>
                <c:pt idx="305">
                  <c:v>79.104477611940297</c:v>
                </c:pt>
                <c:pt idx="306">
                  <c:v>49.514563106796118</c:v>
                </c:pt>
                <c:pt idx="307">
                  <c:v>85.321100917431195</c:v>
                </c:pt>
                <c:pt idx="308">
                  <c:v>74.545454545454547</c:v>
                </c:pt>
                <c:pt idx="309">
                  <c:v>10.76923076923077</c:v>
                </c:pt>
                <c:pt idx="310">
                  <c:v>65.853658536585371</c:v>
                </c:pt>
                <c:pt idx="311">
                  <c:v>73.205741626794264</c:v>
                </c:pt>
                <c:pt idx="312">
                  <c:v>89.87341772151899</c:v>
                </c:pt>
                <c:pt idx="313">
                  <c:v>38.181818181818187</c:v>
                </c:pt>
                <c:pt idx="314">
                  <c:v>87.301587301587304</c:v>
                </c:pt>
                <c:pt idx="315">
                  <c:v>50.769230769230766</c:v>
                </c:pt>
                <c:pt idx="316">
                  <c:v>80.392156862745097</c:v>
                </c:pt>
                <c:pt idx="317">
                  <c:v>94.029850746268664</c:v>
                </c:pt>
                <c:pt idx="318">
                  <c:v>78.378378378378372</c:v>
                </c:pt>
                <c:pt idx="319">
                  <c:v>78.181818181818187</c:v>
                </c:pt>
                <c:pt idx="320">
                  <c:v>46.938775510204081</c:v>
                </c:pt>
                <c:pt idx="321">
                  <c:v>56.756756756756758</c:v>
                </c:pt>
                <c:pt idx="322">
                  <c:v>78.082191780821915</c:v>
                </c:pt>
                <c:pt idx="323">
                  <c:v>34.693877551020407</c:v>
                </c:pt>
                <c:pt idx="324">
                  <c:v>82.089552238805979</c:v>
                </c:pt>
                <c:pt idx="325">
                  <c:v>70.212765957446805</c:v>
                </c:pt>
                <c:pt idx="326">
                  <c:v>94.366197183098592</c:v>
                </c:pt>
                <c:pt idx="327">
                  <c:v>60.439560439560438</c:v>
                </c:pt>
                <c:pt idx="328">
                  <c:v>80.419580419580413</c:v>
                </c:pt>
                <c:pt idx="329">
                  <c:v>80.392156862745097</c:v>
                </c:pt>
                <c:pt idx="330">
                  <c:v>37.404580152671755</c:v>
                </c:pt>
                <c:pt idx="331">
                  <c:v>57.894736842105267</c:v>
                </c:pt>
                <c:pt idx="332">
                  <c:v>87.096774193548384</c:v>
                </c:pt>
                <c:pt idx="333">
                  <c:v>76.119402985074629</c:v>
                </c:pt>
                <c:pt idx="334">
                  <c:v>32.087227414330215</c:v>
                </c:pt>
                <c:pt idx="335">
                  <c:v>80.327868852459019</c:v>
                </c:pt>
                <c:pt idx="336">
                  <c:v>79.2</c:v>
                </c:pt>
                <c:pt idx="337">
                  <c:v>92.156862745098039</c:v>
                </c:pt>
                <c:pt idx="338">
                  <c:v>57.798165137614674</c:v>
                </c:pt>
                <c:pt idx="339">
                  <c:v>85.18518518518519</c:v>
                </c:pt>
                <c:pt idx="340">
                  <c:v>56.424581005586596</c:v>
                </c:pt>
                <c:pt idx="341">
                  <c:v>91.489361702127653</c:v>
                </c:pt>
                <c:pt idx="342">
                  <c:v>79.591836734693871</c:v>
                </c:pt>
                <c:pt idx="343">
                  <c:v>80.198019801980209</c:v>
                </c:pt>
                <c:pt idx="344">
                  <c:v>84.905660377358487</c:v>
                </c:pt>
                <c:pt idx="345">
                  <c:v>91.489361702127653</c:v>
                </c:pt>
                <c:pt idx="346">
                  <c:v>47.368421052631575</c:v>
                </c:pt>
                <c:pt idx="347">
                  <c:v>76</c:v>
                </c:pt>
                <c:pt idx="348">
                  <c:v>75.280898876404493</c:v>
                </c:pt>
                <c:pt idx="349">
                  <c:v>73.584905660377359</c:v>
                </c:pt>
                <c:pt idx="350">
                  <c:v>62.711864406779661</c:v>
                </c:pt>
                <c:pt idx="351">
                  <c:v>79.797979797979806</c:v>
                </c:pt>
                <c:pt idx="352">
                  <c:v>80.645161290322577</c:v>
                </c:pt>
                <c:pt idx="353">
                  <c:v>75.342465753424662</c:v>
                </c:pt>
                <c:pt idx="354">
                  <c:v>68.539325842696627</c:v>
                </c:pt>
                <c:pt idx="355">
                  <c:v>64.96350364963503</c:v>
                </c:pt>
                <c:pt idx="356">
                  <c:v>80.487804878048792</c:v>
                </c:pt>
                <c:pt idx="357">
                  <c:v>54.929577464788736</c:v>
                </c:pt>
                <c:pt idx="358">
                  <c:v>74.803149606299215</c:v>
                </c:pt>
                <c:pt idx="359">
                  <c:v>93.548387096774192</c:v>
                </c:pt>
                <c:pt idx="360">
                  <c:v>47.692307692307693</c:v>
                </c:pt>
                <c:pt idx="361">
                  <c:v>77.777777777777786</c:v>
                </c:pt>
                <c:pt idx="362">
                  <c:v>76</c:v>
                </c:pt>
                <c:pt idx="363">
                  <c:v>55.67567567567567</c:v>
                </c:pt>
                <c:pt idx="364">
                  <c:v>81.818181818181827</c:v>
                </c:pt>
                <c:pt idx="365">
                  <c:v>60.248447204968947</c:v>
                </c:pt>
                <c:pt idx="366">
                  <c:v>48.387096774193552</c:v>
                </c:pt>
                <c:pt idx="367">
                  <c:v>52.941176470588239</c:v>
                </c:pt>
                <c:pt idx="368">
                  <c:v>68.627450980392155</c:v>
                </c:pt>
                <c:pt idx="369">
                  <c:v>32.510288065843625</c:v>
                </c:pt>
                <c:pt idx="370">
                  <c:v>71.428571428571431</c:v>
                </c:pt>
                <c:pt idx="371">
                  <c:v>63.975155279503106</c:v>
                </c:pt>
                <c:pt idx="372">
                  <c:v>69.892473118279568</c:v>
                </c:pt>
                <c:pt idx="373">
                  <c:v>59.064327485380119</c:v>
                </c:pt>
                <c:pt idx="374">
                  <c:v>76.744186046511629</c:v>
                </c:pt>
                <c:pt idx="375">
                  <c:v>58.865248226950349</c:v>
                </c:pt>
                <c:pt idx="376">
                  <c:v>43.39622641509434</c:v>
                </c:pt>
                <c:pt idx="377">
                  <c:v>96.078431372549019</c:v>
                </c:pt>
                <c:pt idx="378">
                  <c:v>72.8</c:v>
                </c:pt>
                <c:pt idx="379">
                  <c:v>84.615384615384613</c:v>
                </c:pt>
                <c:pt idx="380">
                  <c:v>62.352941176470587</c:v>
                </c:pt>
                <c:pt idx="381">
                  <c:v>44.588744588744589</c:v>
                </c:pt>
                <c:pt idx="382">
                  <c:v>62.264150943396224</c:v>
                </c:pt>
                <c:pt idx="383">
                  <c:v>89.473684210526315</c:v>
                </c:pt>
                <c:pt idx="384">
                  <c:v>90.163934426229503</c:v>
                </c:pt>
                <c:pt idx="385">
                  <c:v>93.103448275862064</c:v>
                </c:pt>
                <c:pt idx="386">
                  <c:v>78.461538461538467</c:v>
                </c:pt>
                <c:pt idx="387">
                  <c:v>67.567567567567565</c:v>
                </c:pt>
                <c:pt idx="388">
                  <c:v>75.384615384615387</c:v>
                </c:pt>
                <c:pt idx="389">
                  <c:v>77.777777777777786</c:v>
                </c:pt>
                <c:pt idx="390">
                  <c:v>71.974522292993626</c:v>
                </c:pt>
                <c:pt idx="391">
                  <c:v>69.696969696969703</c:v>
                </c:pt>
                <c:pt idx="392">
                  <c:v>93.939393939393938</c:v>
                </c:pt>
                <c:pt idx="393">
                  <c:v>62.711864406779661</c:v>
                </c:pt>
                <c:pt idx="394">
                  <c:v>65.517241379310349</c:v>
                </c:pt>
                <c:pt idx="395">
                  <c:v>83.098591549295776</c:v>
                </c:pt>
                <c:pt idx="396">
                  <c:v>79.220779220779221</c:v>
                </c:pt>
                <c:pt idx="397">
                  <c:v>79.831932773109244</c:v>
                </c:pt>
                <c:pt idx="398">
                  <c:v>61.643835616438359</c:v>
                </c:pt>
                <c:pt idx="399">
                  <c:v>64.705882352941174</c:v>
                </c:pt>
                <c:pt idx="400">
                  <c:v>76.811594202898547</c:v>
                </c:pt>
                <c:pt idx="401">
                  <c:v>42.857142857142854</c:v>
                </c:pt>
                <c:pt idx="402">
                  <c:v>88.405797101449281</c:v>
                </c:pt>
                <c:pt idx="403">
                  <c:v>79.66101694915254</c:v>
                </c:pt>
                <c:pt idx="404">
                  <c:v>46.835443037974684</c:v>
                </c:pt>
                <c:pt idx="405">
                  <c:v>72.602739726027394</c:v>
                </c:pt>
                <c:pt idx="406">
                  <c:v>60</c:v>
                </c:pt>
                <c:pt idx="407">
                  <c:v>79.710144927536234</c:v>
                </c:pt>
                <c:pt idx="408">
                  <c:v>60.784313725490193</c:v>
                </c:pt>
                <c:pt idx="409">
                  <c:v>63.503649635036496</c:v>
                </c:pt>
                <c:pt idx="410">
                  <c:v>51.778656126482211</c:v>
                </c:pt>
                <c:pt idx="411">
                  <c:v>88.235294117647058</c:v>
                </c:pt>
                <c:pt idx="412">
                  <c:v>71.428571428571431</c:v>
                </c:pt>
                <c:pt idx="413">
                  <c:v>68.421052631578945</c:v>
                </c:pt>
                <c:pt idx="414">
                  <c:v>63.636363636363633</c:v>
                </c:pt>
                <c:pt idx="415">
                  <c:v>77.181208053691279</c:v>
                </c:pt>
                <c:pt idx="416">
                  <c:v>74.311926605504581</c:v>
                </c:pt>
                <c:pt idx="417">
                  <c:v>82.608695652173907</c:v>
                </c:pt>
                <c:pt idx="418">
                  <c:v>75.280898876404493</c:v>
                </c:pt>
                <c:pt idx="419">
                  <c:v>72.41379310344827</c:v>
                </c:pt>
                <c:pt idx="420">
                  <c:v>48.031496062992126</c:v>
                </c:pt>
                <c:pt idx="421">
                  <c:v>80.392156862745097</c:v>
                </c:pt>
                <c:pt idx="422">
                  <c:v>79.104477611940297</c:v>
                </c:pt>
                <c:pt idx="423">
                  <c:v>93.103448275862064</c:v>
                </c:pt>
                <c:pt idx="424">
                  <c:v>31.707317073170731</c:v>
                </c:pt>
                <c:pt idx="425">
                  <c:v>89.189189189189193</c:v>
                </c:pt>
                <c:pt idx="426">
                  <c:v>44.347826086956523</c:v>
                </c:pt>
                <c:pt idx="427">
                  <c:v>77.777777777777786</c:v>
                </c:pt>
                <c:pt idx="428">
                  <c:v>75.609756097560975</c:v>
                </c:pt>
                <c:pt idx="429">
                  <c:v>75.384615384615387</c:v>
                </c:pt>
                <c:pt idx="430">
                  <c:v>48.387096774193552</c:v>
                </c:pt>
                <c:pt idx="431">
                  <c:v>78.294573643410843</c:v>
                </c:pt>
                <c:pt idx="432">
                  <c:v>96.92307692307692</c:v>
                </c:pt>
                <c:pt idx="433">
                  <c:v>78.181818181818187</c:v>
                </c:pt>
                <c:pt idx="434">
                  <c:v>92.592592592592595</c:v>
                </c:pt>
                <c:pt idx="435">
                  <c:v>42.857142857142854</c:v>
                </c:pt>
                <c:pt idx="436">
                  <c:v>94.029850746268664</c:v>
                </c:pt>
                <c:pt idx="437">
                  <c:v>80.645161290322577</c:v>
                </c:pt>
                <c:pt idx="438">
                  <c:v>90.697674418604649</c:v>
                </c:pt>
                <c:pt idx="439">
                  <c:v>76.271186440677965</c:v>
                </c:pt>
                <c:pt idx="440">
                  <c:v>42.857142857142854</c:v>
                </c:pt>
                <c:pt idx="441">
                  <c:v>71.764705882352942</c:v>
                </c:pt>
                <c:pt idx="442">
                  <c:v>77.049180327868854</c:v>
                </c:pt>
                <c:pt idx="443">
                  <c:v>81.132075471698116</c:v>
                </c:pt>
                <c:pt idx="444">
                  <c:v>68</c:v>
                </c:pt>
                <c:pt idx="445">
                  <c:v>48.936170212765958</c:v>
                </c:pt>
                <c:pt idx="446">
                  <c:v>52.72727272727272</c:v>
                </c:pt>
                <c:pt idx="447">
                  <c:v>57.894736842105267</c:v>
                </c:pt>
                <c:pt idx="448">
                  <c:v>81.818181818181827</c:v>
                </c:pt>
                <c:pt idx="449">
                  <c:v>85.507246376811594</c:v>
                </c:pt>
                <c:pt idx="450">
                  <c:v>100</c:v>
                </c:pt>
                <c:pt idx="451">
                  <c:v>78.181818181818187</c:v>
                </c:pt>
                <c:pt idx="452">
                  <c:v>74.803149606299215</c:v>
                </c:pt>
                <c:pt idx="453">
                  <c:v>93.939393939393938</c:v>
                </c:pt>
                <c:pt idx="454">
                  <c:v>71.428571428571431</c:v>
                </c:pt>
                <c:pt idx="455">
                  <c:v>79.84496124031007</c:v>
                </c:pt>
                <c:pt idx="456">
                  <c:v>89.189189189189193</c:v>
                </c:pt>
                <c:pt idx="457">
                  <c:v>50.173010380622841</c:v>
                </c:pt>
                <c:pt idx="458">
                  <c:v>87.096774193548384</c:v>
                </c:pt>
                <c:pt idx="459">
                  <c:v>76</c:v>
                </c:pt>
                <c:pt idx="460">
                  <c:v>79.74683544303798</c:v>
                </c:pt>
                <c:pt idx="461">
                  <c:v>75.609756097560975</c:v>
                </c:pt>
                <c:pt idx="462">
                  <c:v>73.333333333333329</c:v>
                </c:pt>
                <c:pt idx="463">
                  <c:v>52</c:v>
                </c:pt>
                <c:pt idx="464">
                  <c:v>88.764044943820224</c:v>
                </c:pt>
                <c:pt idx="465">
                  <c:v>79.104477611940297</c:v>
                </c:pt>
                <c:pt idx="466">
                  <c:v>82.068965517241381</c:v>
                </c:pt>
                <c:pt idx="467">
                  <c:v>74.436090225563916</c:v>
                </c:pt>
                <c:pt idx="468">
                  <c:v>49.253731343283583</c:v>
                </c:pt>
                <c:pt idx="469">
                  <c:v>95.744680851063833</c:v>
                </c:pt>
                <c:pt idx="470">
                  <c:v>75.342465753424662</c:v>
                </c:pt>
                <c:pt idx="471">
                  <c:v>83.673469387755105</c:v>
                </c:pt>
                <c:pt idx="472">
                  <c:v>75.510204081632651</c:v>
                </c:pt>
                <c:pt idx="473">
                  <c:v>14.027149321266968</c:v>
                </c:pt>
                <c:pt idx="474">
                  <c:v>74.468085106382972</c:v>
                </c:pt>
                <c:pt idx="475">
                  <c:v>55.725190839694662</c:v>
                </c:pt>
                <c:pt idx="476">
                  <c:v>42.281879194630875</c:v>
                </c:pt>
                <c:pt idx="477">
                  <c:v>68.944099378881987</c:v>
                </c:pt>
                <c:pt idx="478">
                  <c:v>52.569169960474305</c:v>
                </c:pt>
                <c:pt idx="479">
                  <c:v>85.18518518518519</c:v>
                </c:pt>
                <c:pt idx="480">
                  <c:v>70.247933884297524</c:v>
                </c:pt>
                <c:pt idx="481">
                  <c:v>67.567567567567565</c:v>
                </c:pt>
                <c:pt idx="482">
                  <c:v>46.236559139784944</c:v>
                </c:pt>
                <c:pt idx="483">
                  <c:v>68.421052631578945</c:v>
                </c:pt>
                <c:pt idx="484">
                  <c:v>37.06293706293706</c:v>
                </c:pt>
                <c:pt idx="485">
                  <c:v>79.104477611940297</c:v>
                </c:pt>
                <c:pt idx="486">
                  <c:v>80.281690140845072</c:v>
                </c:pt>
                <c:pt idx="487">
                  <c:v>73.333333333333329</c:v>
                </c:pt>
                <c:pt idx="488">
                  <c:v>60.330578512396691</c:v>
                </c:pt>
                <c:pt idx="489">
                  <c:v>92.452830188679243</c:v>
                </c:pt>
                <c:pt idx="490">
                  <c:v>79.084967320261441</c:v>
                </c:pt>
                <c:pt idx="491">
                  <c:v>85.18518518518519</c:v>
                </c:pt>
                <c:pt idx="492">
                  <c:v>22.137404580152673</c:v>
                </c:pt>
                <c:pt idx="493">
                  <c:v>43.15789473684211</c:v>
                </c:pt>
                <c:pt idx="494">
                  <c:v>70.09345794392523</c:v>
                </c:pt>
                <c:pt idx="495">
                  <c:v>66.88741721854305</c:v>
                </c:pt>
                <c:pt idx="496">
                  <c:v>74.117647058823536</c:v>
                </c:pt>
                <c:pt idx="497">
                  <c:v>44.61538461538462</c:v>
                </c:pt>
                <c:pt idx="498">
                  <c:v>73.333333333333329</c:v>
                </c:pt>
                <c:pt idx="499">
                  <c:v>81.333333333333329</c:v>
                </c:pt>
              </c:numCache>
            </c:numRef>
          </c:xVal>
          <c:yVal>
            <c:numRef>
              <c:f>Data!$S$8:$S$507</c:f>
              <c:numCache>
                <c:formatCode>General</c:formatCode>
                <c:ptCount val="500"/>
                <c:pt idx="0">
                  <c:v>3.97710830680133</c:v>
                </c:pt>
                <c:pt idx="1">
                  <c:v>4.2665573473331158</c:v>
                </c:pt>
                <c:pt idx="2">
                  <c:v>4.5476992869435744</c:v>
                </c:pt>
                <c:pt idx="3">
                  <c:v>4.5634247892997601</c:v>
                </c:pt>
                <c:pt idx="4">
                  <c:v>4.1439777595261136</c:v>
                </c:pt>
                <c:pt idx="5">
                  <c:v>3.9138775192013733</c:v>
                </c:pt>
                <c:pt idx="6">
                  <c:v>3.6143409898154979</c:v>
                </c:pt>
                <c:pt idx="7">
                  <c:v>4.8330735984263438</c:v>
                </c:pt>
                <c:pt idx="8">
                  <c:v>4.3186403811677989</c:v>
                </c:pt>
                <c:pt idx="9">
                  <c:v>4.4012412281791891</c:v>
                </c:pt>
                <c:pt idx="10">
                  <c:v>4.4200982226490666</c:v>
                </c:pt>
                <c:pt idx="11">
                  <c:v>4.3858392178085222</c:v>
                </c:pt>
                <c:pt idx="12">
                  <c:v>4.7420221242895124</c:v>
                </c:pt>
                <c:pt idx="13">
                  <c:v>4.919248671961947</c:v>
                </c:pt>
                <c:pt idx="14">
                  <c:v>4.851403347298084</c:v>
                </c:pt>
                <c:pt idx="15">
                  <c:v>4.1906857199318317</c:v>
                </c:pt>
                <c:pt idx="16">
                  <c:v>3.8603923074642967</c:v>
                </c:pt>
                <c:pt idx="17">
                  <c:v>4.335085452342172</c:v>
                </c:pt>
                <c:pt idx="18">
                  <c:v>4.065225638652187</c:v>
                </c:pt>
                <c:pt idx="19">
                  <c:v>4.2688484576273513</c:v>
                </c:pt>
                <c:pt idx="20">
                  <c:v>4.2914308925151268</c:v>
                </c:pt>
                <c:pt idx="21">
                  <c:v>4.3854445445538577</c:v>
                </c:pt>
                <c:pt idx="22">
                  <c:v>4.6761646410870306</c:v>
                </c:pt>
                <c:pt idx="23">
                  <c:v>3.8365440253237555</c:v>
                </c:pt>
                <c:pt idx="24">
                  <c:v>4.6122789227551575</c:v>
                </c:pt>
                <c:pt idx="25">
                  <c:v>3.7285968423074998</c:v>
                </c:pt>
                <c:pt idx="26">
                  <c:v>3.2761775489326057</c:v>
                </c:pt>
                <c:pt idx="27">
                  <c:v>4.6378882895971527</c:v>
                </c:pt>
                <c:pt idx="28">
                  <c:v>4.7213897262510667</c:v>
                </c:pt>
                <c:pt idx="29">
                  <c:v>3.710739887502716</c:v>
                </c:pt>
                <c:pt idx="30">
                  <c:v>5.2642577249176199</c:v>
                </c:pt>
                <c:pt idx="31">
                  <c:v>4.8916734226099692</c:v>
                </c:pt>
                <c:pt idx="32">
                  <c:v>3.7801924977098058</c:v>
                </c:pt>
                <c:pt idx="33">
                  <c:v>4.1052728124021804</c:v>
                </c:pt>
                <c:pt idx="34">
                  <c:v>4.2699450376932857</c:v>
                </c:pt>
                <c:pt idx="35">
                  <c:v>5.5774741625451618</c:v>
                </c:pt>
                <c:pt idx="36">
                  <c:v>5.5483238711825109</c:v>
                </c:pt>
                <c:pt idx="37">
                  <c:v>5.6883729994648604</c:v>
                </c:pt>
                <c:pt idx="38">
                  <c:v>4.670189246697932</c:v>
                </c:pt>
                <c:pt idx="39">
                  <c:v>4.702726849105666</c:v>
                </c:pt>
                <c:pt idx="40">
                  <c:v>3.4649808946669109</c:v>
                </c:pt>
                <c:pt idx="41">
                  <c:v>5.5115362353141766</c:v>
                </c:pt>
                <c:pt idx="42">
                  <c:v>4.7189934257404449</c:v>
                </c:pt>
                <c:pt idx="43">
                  <c:v>5.2697125495457682</c:v>
                </c:pt>
                <c:pt idx="44">
                  <c:v>4.2003931367239415</c:v>
                </c:pt>
                <c:pt idx="45">
                  <c:v>4.9676765857485616</c:v>
                </c:pt>
                <c:pt idx="46">
                  <c:v>5.2528602364581367</c:v>
                </c:pt>
                <c:pt idx="47">
                  <c:v>4.6229874755643889</c:v>
                </c:pt>
                <c:pt idx="48">
                  <c:v>3.2507288671297903</c:v>
                </c:pt>
                <c:pt idx="49">
                  <c:v>5.8282319836501451</c:v>
                </c:pt>
                <c:pt idx="50">
                  <c:v>3.8291778574695403</c:v>
                </c:pt>
                <c:pt idx="51">
                  <c:v>6.3313891262751074</c:v>
                </c:pt>
                <c:pt idx="52">
                  <c:v>4.1742018412203787</c:v>
                </c:pt>
                <c:pt idx="53">
                  <c:v>4.8930189370082173</c:v>
                </c:pt>
                <c:pt idx="54">
                  <c:v>4.0447807755605316</c:v>
                </c:pt>
                <c:pt idx="55">
                  <c:v>4.7803614272004591</c:v>
                </c:pt>
                <c:pt idx="56">
                  <c:v>5.2163198711935976</c:v>
                </c:pt>
                <c:pt idx="57">
                  <c:v>3.5968985736336343</c:v>
                </c:pt>
                <c:pt idx="58">
                  <c:v>3.6241489603514507</c:v>
                </c:pt>
                <c:pt idx="59">
                  <c:v>4.1429750992075771</c:v>
                </c:pt>
                <c:pt idx="60">
                  <c:v>3.7196751104277688</c:v>
                </c:pt>
                <c:pt idx="61">
                  <c:v>4.9285413239571989</c:v>
                </c:pt>
                <c:pt idx="62">
                  <c:v>4.108735852523755</c:v>
                </c:pt>
                <c:pt idx="63">
                  <c:v>5.3240370435441973</c:v>
                </c:pt>
                <c:pt idx="64">
                  <c:v>5.425396761931637</c:v>
                </c:pt>
                <c:pt idx="65">
                  <c:v>5.070394642019588</c:v>
                </c:pt>
                <c:pt idx="66">
                  <c:v>4.6738606853540849</c:v>
                </c:pt>
                <c:pt idx="67">
                  <c:v>4.9154583194046735</c:v>
                </c:pt>
                <c:pt idx="68">
                  <c:v>5.713482361284818</c:v>
                </c:pt>
                <c:pt idx="69">
                  <c:v>3.9244197787571098</c:v>
                </c:pt>
                <c:pt idx="70">
                  <c:v>3.9027580532810537</c:v>
                </c:pt>
                <c:pt idx="71">
                  <c:v>4.9867957914417431</c:v>
                </c:pt>
                <c:pt idx="72">
                  <c:v>3.6168572919815283</c:v>
                </c:pt>
                <c:pt idx="73">
                  <c:v>4.5147998374924168</c:v>
                </c:pt>
                <c:pt idx="74">
                  <c:v>3.7686942161672912</c:v>
                </c:pt>
                <c:pt idx="75">
                  <c:v>3.990384441913108</c:v>
                </c:pt>
                <c:pt idx="76">
                  <c:v>4.5454167752702279</c:v>
                </c:pt>
                <c:pt idx="77">
                  <c:v>4.4439220684959508</c:v>
                </c:pt>
                <c:pt idx="78">
                  <c:v>4.3094730975303417</c:v>
                </c:pt>
                <c:pt idx="79">
                  <c:v>4.2005935436352084</c:v>
                </c:pt>
                <c:pt idx="80">
                  <c:v>5.3485714226683063</c:v>
                </c:pt>
                <c:pt idx="81">
                  <c:v>4.3880829025275814</c:v>
                </c:pt>
                <c:pt idx="82">
                  <c:v>5.0524252609846219</c:v>
                </c:pt>
                <c:pt idx="83">
                  <c:v>5.1179786430718854</c:v>
                </c:pt>
                <c:pt idx="84">
                  <c:v>4.5626201173407646</c:v>
                </c:pt>
                <c:pt idx="85">
                  <c:v>4.8883234770024755</c:v>
                </c:pt>
                <c:pt idx="86">
                  <c:v>5.3697175215938193</c:v>
                </c:pt>
                <c:pt idx="87">
                  <c:v>5.3123916361646888</c:v>
                </c:pt>
                <c:pt idx="88">
                  <c:v>3.4009162301964286</c:v>
                </c:pt>
                <c:pt idx="89">
                  <c:v>5.0828676992179487</c:v>
                </c:pt>
                <c:pt idx="90">
                  <c:v>4.252730888648534</c:v>
                </c:pt>
                <c:pt idx="91">
                  <c:v>4.4733440403984339</c:v>
                </c:pt>
                <c:pt idx="92">
                  <c:v>5.0593107147187135</c:v>
                </c:pt>
                <c:pt idx="93">
                  <c:v>4.7327925174891412</c:v>
                </c:pt>
                <c:pt idx="94">
                  <c:v>3.4456494940823106</c:v>
                </c:pt>
                <c:pt idx="95">
                  <c:v>4.5088085421271602</c:v>
                </c:pt>
                <c:pt idx="96">
                  <c:v>5.7764128960528041</c:v>
                </c:pt>
                <c:pt idx="97">
                  <c:v>4.634041596575412</c:v>
                </c:pt>
                <c:pt idx="98">
                  <c:v>4.0945523216426434</c:v>
                </c:pt>
                <c:pt idx="99">
                  <c:v>4.586296023076244</c:v>
                </c:pt>
                <c:pt idx="100">
                  <c:v>4.8150978713158903</c:v>
                </c:pt>
                <c:pt idx="101">
                  <c:v>3.8984235362391972</c:v>
                </c:pt>
                <c:pt idx="102">
                  <c:v>4.0880928340566589</c:v>
                </c:pt>
                <c:pt idx="103">
                  <c:v>4.2253189322247593</c:v>
                </c:pt>
                <c:pt idx="104">
                  <c:v>4.6298948194393548</c:v>
                </c:pt>
                <c:pt idx="105">
                  <c:v>5.1637871361718144</c:v>
                </c:pt>
                <c:pt idx="106">
                  <c:v>4.4962472255482151</c:v>
                </c:pt>
                <c:pt idx="107">
                  <c:v>4.7816129522769417</c:v>
                </c:pt>
                <c:pt idx="108">
                  <c:v>4.1912177716076755</c:v>
                </c:pt>
                <c:pt idx="109">
                  <c:v>4.6274191805407083</c:v>
                </c:pt>
                <c:pt idx="110">
                  <c:v>5.800579312967721</c:v>
                </c:pt>
                <c:pt idx="111">
                  <c:v>3.7163359347464731</c:v>
                </c:pt>
                <c:pt idx="112">
                  <c:v>3.437630205549965</c:v>
                </c:pt>
                <c:pt idx="113">
                  <c:v>5.240342688546562</c:v>
                </c:pt>
                <c:pt idx="114">
                  <c:v>3.8057747503942858</c:v>
                </c:pt>
                <c:pt idx="115">
                  <c:v>5.1735983925131785</c:v>
                </c:pt>
                <c:pt idx="116">
                  <c:v>4.3370766083990127</c:v>
                </c:pt>
                <c:pt idx="117">
                  <c:v>5.5895054360069665</c:v>
                </c:pt>
                <c:pt idx="118">
                  <c:v>4.1868318591518427</c:v>
                </c:pt>
                <c:pt idx="119">
                  <c:v>4.2479392347194285</c:v>
                </c:pt>
                <c:pt idx="120">
                  <c:v>4.4526687020661457</c:v>
                </c:pt>
                <c:pt idx="121">
                  <c:v>3.9010284786525919</c:v>
                </c:pt>
                <c:pt idx="122">
                  <c:v>3.3295746903391743</c:v>
                </c:pt>
                <c:pt idx="123">
                  <c:v>5.5440927827487485</c:v>
                </c:pt>
                <c:pt idx="124">
                  <c:v>3.6899331551116896</c:v>
                </c:pt>
                <c:pt idx="125">
                  <c:v>6.0594971508581983</c:v>
                </c:pt>
                <c:pt idx="126">
                  <c:v>4.5537918783214524</c:v>
                </c:pt>
                <c:pt idx="127">
                  <c:v>4.2393159929041797</c:v>
                </c:pt>
                <c:pt idx="128">
                  <c:v>5.0735053999890223</c:v>
                </c:pt>
                <c:pt idx="129">
                  <c:v>5.6063325578245831</c:v>
                </c:pt>
                <c:pt idx="130">
                  <c:v>5.2895326466196675</c:v>
                </c:pt>
                <c:pt idx="131">
                  <c:v>5.0876205646688248</c:v>
                </c:pt>
                <c:pt idx="132">
                  <c:v>5.3166123405709511</c:v>
                </c:pt>
                <c:pt idx="133">
                  <c:v>3.6766723626060274</c:v>
                </c:pt>
                <c:pt idx="134">
                  <c:v>4.6979450262564662</c:v>
                </c:pt>
                <c:pt idx="135">
                  <c:v>4.0611461935166373</c:v>
                </c:pt>
                <c:pt idx="136">
                  <c:v>4.3894205056637912</c:v>
                </c:pt>
                <c:pt idx="137">
                  <c:v>4.925812619831647</c:v>
                </c:pt>
                <c:pt idx="138">
                  <c:v>5.0129317358355667</c:v>
                </c:pt>
                <c:pt idx="139">
                  <c:v>4.986131224378255</c:v>
                </c:pt>
                <c:pt idx="140">
                  <c:v>5.3650130978157922</c:v>
                </c:pt>
                <c:pt idx="141">
                  <c:v>5.5132434300444224</c:v>
                </c:pt>
                <c:pt idx="142">
                  <c:v>4.4858897127587767</c:v>
                </c:pt>
                <c:pt idx="143">
                  <c:v>5.0798836056634107</c:v>
                </c:pt>
                <c:pt idx="144">
                  <c:v>4.2766478732216973</c:v>
                </c:pt>
                <c:pt idx="145">
                  <c:v>3.3866661939402887</c:v>
                </c:pt>
                <c:pt idx="146">
                  <c:v>3.8647168765169964</c:v>
                </c:pt>
                <c:pt idx="147">
                  <c:v>3.2368964114147332</c:v>
                </c:pt>
                <c:pt idx="148">
                  <c:v>5.2861945933741614</c:v>
                </c:pt>
                <c:pt idx="149">
                  <c:v>4.445240232283922</c:v>
                </c:pt>
                <c:pt idx="150">
                  <c:v>3.4177909180688792</c:v>
                </c:pt>
                <c:pt idx="151">
                  <c:v>3.8328358406225833</c:v>
                </c:pt>
                <c:pt idx="152">
                  <c:v>4.0722963122890841</c:v>
                </c:pt>
                <c:pt idx="153">
                  <c:v>4.7334828430222551</c:v>
                </c:pt>
                <c:pt idx="154">
                  <c:v>4.1231395286815591</c:v>
                </c:pt>
                <c:pt idx="155">
                  <c:v>4.6965433484635257</c:v>
                </c:pt>
                <c:pt idx="156">
                  <c:v>4.917445995310862</c:v>
                </c:pt>
                <c:pt idx="157">
                  <c:v>4.9411646674701801</c:v>
                </c:pt>
                <c:pt idx="158">
                  <c:v>4.0468590619259359</c:v>
                </c:pt>
                <c:pt idx="159">
                  <c:v>5.4914198374161707</c:v>
                </c:pt>
                <c:pt idx="160">
                  <c:v>4.6394240713937984</c:v>
                </c:pt>
                <c:pt idx="161">
                  <c:v>5.6069432705858704</c:v>
                </c:pt>
                <c:pt idx="162">
                  <c:v>3.4912246673146914</c:v>
                </c:pt>
                <c:pt idx="163">
                  <c:v>4.3301311725648004</c:v>
                </c:pt>
                <c:pt idx="164">
                  <c:v>4.4602044703721324</c:v>
                </c:pt>
                <c:pt idx="165">
                  <c:v>5.8561473351000979</c:v>
                </c:pt>
                <c:pt idx="166">
                  <c:v>4.3285406514836691</c:v>
                </c:pt>
                <c:pt idx="167">
                  <c:v>4.7919417271504905</c:v>
                </c:pt>
                <c:pt idx="168">
                  <c:v>4.9974859183679046</c:v>
                </c:pt>
                <c:pt idx="169">
                  <c:v>4.2775612048482206</c:v>
                </c:pt>
                <c:pt idx="170">
                  <c:v>3.6092707413672853</c:v>
                </c:pt>
                <c:pt idx="171">
                  <c:v>5.3823150266314173</c:v>
                </c:pt>
                <c:pt idx="172">
                  <c:v>4.1861390912266963</c:v>
                </c:pt>
                <c:pt idx="173">
                  <c:v>3.5923312877511044</c:v>
                </c:pt>
                <c:pt idx="174">
                  <c:v>5.2918416482637465</c:v>
                </c:pt>
                <c:pt idx="175">
                  <c:v>5.7823081974832284</c:v>
                </c:pt>
                <c:pt idx="176">
                  <c:v>4.3715514316165427</c:v>
                </c:pt>
                <c:pt idx="177">
                  <c:v>3.9467946174997341</c:v>
                </c:pt>
                <c:pt idx="178">
                  <c:v>3.8757619546094579</c:v>
                </c:pt>
                <c:pt idx="179">
                  <c:v>4.3981253217123832</c:v>
                </c:pt>
                <c:pt idx="180">
                  <c:v>4.2814192256005388</c:v>
                </c:pt>
                <c:pt idx="181">
                  <c:v>4.9571085322632271</c:v>
                </c:pt>
                <c:pt idx="182">
                  <c:v>4.6134635701139519</c:v>
                </c:pt>
                <c:pt idx="183">
                  <c:v>3.5834800311582113</c:v>
                </c:pt>
                <c:pt idx="184">
                  <c:v>5.7670896097907409</c:v>
                </c:pt>
                <c:pt idx="185">
                  <c:v>4.8892297598864136</c:v>
                </c:pt>
                <c:pt idx="186">
                  <c:v>4.3658133044588414</c:v>
                </c:pt>
                <c:pt idx="187">
                  <c:v>4.9105650369306391</c:v>
                </c:pt>
                <c:pt idx="188">
                  <c:v>4.3969331866079076</c:v>
                </c:pt>
                <c:pt idx="189">
                  <c:v>4.736749261464599</c:v>
                </c:pt>
                <c:pt idx="190">
                  <c:v>4.0023997040260175</c:v>
                </c:pt>
                <c:pt idx="191">
                  <c:v>4.0934953296219758</c:v>
                </c:pt>
                <c:pt idx="192">
                  <c:v>4.7956962043907785</c:v>
                </c:pt>
                <c:pt idx="193">
                  <c:v>4.8227410199523781</c:v>
                </c:pt>
                <c:pt idx="194">
                  <c:v>3.8924829493720425</c:v>
                </c:pt>
                <c:pt idx="195">
                  <c:v>5.0846585691356729</c:v>
                </c:pt>
                <c:pt idx="196">
                  <c:v>5.2028403417924611</c:v>
                </c:pt>
                <c:pt idx="197">
                  <c:v>3.8488672863805231</c:v>
                </c:pt>
                <c:pt idx="198">
                  <c:v>4.8053858377935512</c:v>
                </c:pt>
                <c:pt idx="199">
                  <c:v>4.0718029884203197</c:v>
                </c:pt>
                <c:pt idx="200">
                  <c:v>3.9205445674397534</c:v>
                </c:pt>
                <c:pt idx="201">
                  <c:v>5.3734371728187069</c:v>
                </c:pt>
                <c:pt idx="202">
                  <c:v>4.0387159578301572</c:v>
                </c:pt>
                <c:pt idx="203">
                  <c:v>3.3091879056993259</c:v>
                </c:pt>
                <c:pt idx="204">
                  <c:v>3.6693781205525107</c:v>
                </c:pt>
                <c:pt idx="205">
                  <c:v>4.2602430415333217</c:v>
                </c:pt>
                <c:pt idx="206">
                  <c:v>4.8010011740779932</c:v>
                </c:pt>
                <c:pt idx="207">
                  <c:v>4.658469288538635</c:v>
                </c:pt>
                <c:pt idx="208">
                  <c:v>4.7910029142966204</c:v>
                </c:pt>
                <c:pt idx="209">
                  <c:v>3.5707379504760057</c:v>
                </c:pt>
                <c:pt idx="210">
                  <c:v>5.6451514357335526</c:v>
                </c:pt>
                <c:pt idx="211">
                  <c:v>5.4093813662335393</c:v>
                </c:pt>
                <c:pt idx="212">
                  <c:v>4.5263230985458005</c:v>
                </c:pt>
                <c:pt idx="213">
                  <c:v>5.3366361486839615</c:v>
                </c:pt>
                <c:pt idx="214">
                  <c:v>3.5639155199802941</c:v>
                </c:pt>
                <c:pt idx="215">
                  <c:v>3.4831851401583966</c:v>
                </c:pt>
                <c:pt idx="216">
                  <c:v>4.3555357791391511</c:v>
                </c:pt>
                <c:pt idx="217">
                  <c:v>4.2715559035043942</c:v>
                </c:pt>
                <c:pt idx="218">
                  <c:v>5.3557895480617637</c:v>
                </c:pt>
                <c:pt idx="219">
                  <c:v>4.4445171440540836</c:v>
                </c:pt>
                <c:pt idx="220">
                  <c:v>3.8391761590686446</c:v>
                </c:pt>
                <c:pt idx="221">
                  <c:v>4.1510133028871721</c:v>
                </c:pt>
                <c:pt idx="222">
                  <c:v>4.9711731134212975</c:v>
                </c:pt>
                <c:pt idx="223">
                  <c:v>4.5217436057478384</c:v>
                </c:pt>
                <c:pt idx="224">
                  <c:v>4.6715323875117711</c:v>
                </c:pt>
                <c:pt idx="225">
                  <c:v>5.3534946357896418</c:v>
                </c:pt>
                <c:pt idx="226">
                  <c:v>5.6520770682510575</c:v>
                </c:pt>
                <c:pt idx="227">
                  <c:v>4.0936354402523509</c:v>
                </c:pt>
                <c:pt idx="228">
                  <c:v>4.2136187673007841</c:v>
                </c:pt>
                <c:pt idx="229">
                  <c:v>4.5192784608427861</c:v>
                </c:pt>
                <c:pt idx="230">
                  <c:v>4.4541863849822425</c:v>
                </c:pt>
                <c:pt idx="231">
                  <c:v>4.6587134466208964</c:v>
                </c:pt>
                <c:pt idx="232">
                  <c:v>4.2024014166183736</c:v>
                </c:pt>
                <c:pt idx="233">
                  <c:v>4.2613454833174211</c:v>
                </c:pt>
                <c:pt idx="234">
                  <c:v>4.9852449119664737</c:v>
                </c:pt>
                <c:pt idx="235">
                  <c:v>4.9123037032240378</c:v>
                </c:pt>
                <c:pt idx="236">
                  <c:v>4.8639383313455209</c:v>
                </c:pt>
                <c:pt idx="237">
                  <c:v>5.3666218404496657</c:v>
                </c:pt>
                <c:pt idx="238">
                  <c:v>5.2909895144421855</c:v>
                </c:pt>
                <c:pt idx="239">
                  <c:v>5.0298631572716221</c:v>
                </c:pt>
                <c:pt idx="240">
                  <c:v>4.4005168215959989</c:v>
                </c:pt>
                <c:pt idx="241">
                  <c:v>5.0232856732412561</c:v>
                </c:pt>
                <c:pt idx="242">
                  <c:v>5.5335916749309355</c:v>
                </c:pt>
                <c:pt idx="243">
                  <c:v>5.1949497836792986</c:v>
                </c:pt>
                <c:pt idx="244">
                  <c:v>3.8564061515345323</c:v>
                </c:pt>
                <c:pt idx="245">
                  <c:v>3.8705814325126591</c:v>
                </c:pt>
                <c:pt idx="246">
                  <c:v>4.4380690895776276</c:v>
                </c:pt>
                <c:pt idx="247">
                  <c:v>3.9091816936524895</c:v>
                </c:pt>
                <c:pt idx="248">
                  <c:v>4.77367384310101</c:v>
                </c:pt>
                <c:pt idx="249">
                  <c:v>3.4852621070030878</c:v>
                </c:pt>
                <c:pt idx="250">
                  <c:v>4.4274943582149948</c:v>
                </c:pt>
                <c:pt idx="251">
                  <c:v>3.8846614055761819</c:v>
                </c:pt>
                <c:pt idx="252">
                  <c:v>4.354516566636379</c:v>
                </c:pt>
                <c:pt idx="253">
                  <c:v>4.1472293964322358</c:v>
                </c:pt>
                <c:pt idx="254">
                  <c:v>4.4014148230433952</c:v>
                </c:pt>
                <c:pt idx="255">
                  <c:v>5.1428229802768826</c:v>
                </c:pt>
                <c:pt idx="256">
                  <c:v>4.2538900559852362</c:v>
                </c:pt>
                <c:pt idx="257">
                  <c:v>5.8850379283652483</c:v>
                </c:pt>
                <c:pt idx="258">
                  <c:v>3.344612209106014</c:v>
                </c:pt>
                <c:pt idx="259">
                  <c:v>4.5991750464084991</c:v>
                </c:pt>
                <c:pt idx="260">
                  <c:v>5.483342922407763</c:v>
                </c:pt>
                <c:pt idx="261">
                  <c:v>5.426355318131403</c:v>
                </c:pt>
                <c:pt idx="262">
                  <c:v>4.6736319978142422</c:v>
                </c:pt>
                <c:pt idx="263">
                  <c:v>5.5090852347964967</c:v>
                </c:pt>
                <c:pt idx="264">
                  <c:v>5.5378470820095504</c:v>
                </c:pt>
                <c:pt idx="265">
                  <c:v>4.900763782911028</c:v>
                </c:pt>
                <c:pt idx="266">
                  <c:v>3.4519917392052779</c:v>
                </c:pt>
                <c:pt idx="267">
                  <c:v>5.1421496029858247</c:v>
                </c:pt>
                <c:pt idx="268">
                  <c:v>4.6177157304658039</c:v>
                </c:pt>
                <c:pt idx="269">
                  <c:v>3.9033133318967015</c:v>
                </c:pt>
                <c:pt idx="270">
                  <c:v>3.3252747405714045</c:v>
                </c:pt>
                <c:pt idx="271">
                  <c:v>4.7424451346467</c:v>
                </c:pt>
                <c:pt idx="272">
                  <c:v>5.1171041566546398</c:v>
                </c:pt>
                <c:pt idx="273">
                  <c:v>5.753361214559721</c:v>
                </c:pt>
                <c:pt idx="274">
                  <c:v>4.7122527869128508</c:v>
                </c:pt>
                <c:pt idx="275">
                  <c:v>5.6667355089925833</c:v>
                </c:pt>
                <c:pt idx="276">
                  <c:v>5.2782750345306955</c:v>
                </c:pt>
                <c:pt idx="277">
                  <c:v>4.9352183772446692</c:v>
                </c:pt>
                <c:pt idx="278">
                  <c:v>3.8086617171626349</c:v>
                </c:pt>
                <c:pt idx="279">
                  <c:v>5.7831193584818514</c:v>
                </c:pt>
                <c:pt idx="280">
                  <c:v>5.1622514336490806</c:v>
                </c:pt>
                <c:pt idx="281">
                  <c:v>4.0981129823062838</c:v>
                </c:pt>
                <c:pt idx="282">
                  <c:v>3.6670356689005588</c:v>
                </c:pt>
                <c:pt idx="283">
                  <c:v>4.3262067727092237</c:v>
                </c:pt>
                <c:pt idx="284">
                  <c:v>4.3350421225496589</c:v>
                </c:pt>
                <c:pt idx="285">
                  <c:v>5.0450890899877097</c:v>
                </c:pt>
                <c:pt idx="286">
                  <c:v>3.7255849342525695</c:v>
                </c:pt>
                <c:pt idx="287">
                  <c:v>5.2748224987812415</c:v>
                </c:pt>
                <c:pt idx="288">
                  <c:v>5.1309500816153584</c:v>
                </c:pt>
                <c:pt idx="289">
                  <c:v>5.289213826512464</c:v>
                </c:pt>
                <c:pt idx="290">
                  <c:v>4.5815316404343029</c:v>
                </c:pt>
                <c:pt idx="291">
                  <c:v>5.5134556427194052</c:v>
                </c:pt>
                <c:pt idx="292">
                  <c:v>4.9752812075620554</c:v>
                </c:pt>
                <c:pt idx="293">
                  <c:v>4.2662992679005249</c:v>
                </c:pt>
                <c:pt idx="294">
                  <c:v>4.4994864210816239</c:v>
                </c:pt>
                <c:pt idx="295">
                  <c:v>4.2072525178506694</c:v>
                </c:pt>
                <c:pt idx="296">
                  <c:v>5.5882075518717969</c:v>
                </c:pt>
                <c:pt idx="297">
                  <c:v>4.3932872464453636</c:v>
                </c:pt>
                <c:pt idx="298">
                  <c:v>4.6457141175678522</c:v>
                </c:pt>
                <c:pt idx="299">
                  <c:v>4.5313596983712534</c:v>
                </c:pt>
                <c:pt idx="300">
                  <c:v>4.217254089053398</c:v>
                </c:pt>
                <c:pt idx="301">
                  <c:v>4.3505962248212295</c:v>
                </c:pt>
                <c:pt idx="302">
                  <c:v>4.3467569782659501</c:v>
                </c:pt>
                <c:pt idx="303">
                  <c:v>4.2881907948728131</c:v>
                </c:pt>
                <c:pt idx="304">
                  <c:v>4.2626425192059374</c:v>
                </c:pt>
                <c:pt idx="305">
                  <c:v>5.9284075518814534</c:v>
                </c:pt>
                <c:pt idx="306">
                  <c:v>4.537734878441344</c:v>
                </c:pt>
                <c:pt idx="307">
                  <c:v>3.8407139244260318</c:v>
                </c:pt>
                <c:pt idx="308">
                  <c:v>4.5493808646492457</c:v>
                </c:pt>
                <c:pt idx="309">
                  <c:v>4.4806089465962327</c:v>
                </c:pt>
                <c:pt idx="310">
                  <c:v>4.4571392687930107</c:v>
                </c:pt>
                <c:pt idx="311">
                  <c:v>4.1348664653215632</c:v>
                </c:pt>
                <c:pt idx="312">
                  <c:v>4.2157871822810513</c:v>
                </c:pt>
                <c:pt idx="313">
                  <c:v>3.7743886752884057</c:v>
                </c:pt>
                <c:pt idx="314">
                  <c:v>4.143893548119971</c:v>
                </c:pt>
                <c:pt idx="315">
                  <c:v>5.3498652686778581</c:v>
                </c:pt>
                <c:pt idx="316">
                  <c:v>5.0725682530276535</c:v>
                </c:pt>
                <c:pt idx="317">
                  <c:v>6.2886767223608118</c:v>
                </c:pt>
                <c:pt idx="318">
                  <c:v>4.636301972427102</c:v>
                </c:pt>
                <c:pt idx="319">
                  <c:v>4.5182697556369824</c:v>
                </c:pt>
                <c:pt idx="320">
                  <c:v>4.8722971842686675</c:v>
                </c:pt>
                <c:pt idx="321">
                  <c:v>4.2459952080084653</c:v>
                </c:pt>
                <c:pt idx="322">
                  <c:v>4.7073328084569468</c:v>
                </c:pt>
                <c:pt idx="323">
                  <c:v>4.4699973140761573</c:v>
                </c:pt>
                <c:pt idx="324">
                  <c:v>5.3498803514670303</c:v>
                </c:pt>
                <c:pt idx="325">
                  <c:v>5.6313322759265176</c:v>
                </c:pt>
                <c:pt idx="326">
                  <c:v>5.0004600318690535</c:v>
                </c:pt>
                <c:pt idx="327">
                  <c:v>3.8262623971586542</c:v>
                </c:pt>
                <c:pt idx="328">
                  <c:v>4.4690192770304131</c:v>
                </c:pt>
                <c:pt idx="329">
                  <c:v>4.2483341246942787</c:v>
                </c:pt>
                <c:pt idx="330">
                  <c:v>4.6157834227178327</c:v>
                </c:pt>
                <c:pt idx="331">
                  <c:v>4.7288645870341526</c:v>
                </c:pt>
                <c:pt idx="332">
                  <c:v>3.686029020602795</c:v>
                </c:pt>
                <c:pt idx="333">
                  <c:v>5.5340108003380575</c:v>
                </c:pt>
                <c:pt idx="334">
                  <c:v>3.8874610777118805</c:v>
                </c:pt>
                <c:pt idx="335">
                  <c:v>4.910425301913266</c:v>
                </c:pt>
                <c:pt idx="336">
                  <c:v>4.7232427547784006</c:v>
                </c:pt>
                <c:pt idx="337">
                  <c:v>5.0152887420745342</c:v>
                </c:pt>
                <c:pt idx="338">
                  <c:v>4.4482464348415736</c:v>
                </c:pt>
                <c:pt idx="339">
                  <c:v>3.7142941925450197</c:v>
                </c:pt>
                <c:pt idx="340">
                  <c:v>4.6815034110983076</c:v>
                </c:pt>
                <c:pt idx="341">
                  <c:v>4.1851870978395551</c:v>
                </c:pt>
                <c:pt idx="342">
                  <c:v>3.8783435566864419</c:v>
                </c:pt>
                <c:pt idx="343">
                  <c:v>4.0247264380746639</c:v>
                </c:pt>
                <c:pt idx="344">
                  <c:v>5.7639435114461914</c:v>
                </c:pt>
                <c:pt idx="345">
                  <c:v>4.0762430698761483</c:v>
                </c:pt>
                <c:pt idx="346">
                  <c:v>4.8774393437709982</c:v>
                </c:pt>
                <c:pt idx="347">
                  <c:v>4.3579067275433756</c:v>
                </c:pt>
                <c:pt idx="348">
                  <c:v>5.0767980539038042</c:v>
                </c:pt>
                <c:pt idx="349">
                  <c:v>4.3269226913644872</c:v>
                </c:pt>
                <c:pt idx="350">
                  <c:v>4.5895614242450034</c:v>
                </c:pt>
                <c:pt idx="351">
                  <c:v>4.5530606649785197</c:v>
                </c:pt>
                <c:pt idx="352">
                  <c:v>5.0055072660372026</c:v>
                </c:pt>
                <c:pt idx="353">
                  <c:v>5.0922350901134656</c:v>
                </c:pt>
                <c:pt idx="354">
                  <c:v>4.9734162304062366</c:v>
                </c:pt>
                <c:pt idx="355">
                  <c:v>4.877000459701164</c:v>
                </c:pt>
                <c:pt idx="356">
                  <c:v>3.5466725846734386</c:v>
                </c:pt>
                <c:pt idx="357">
                  <c:v>3.2785068151213625</c:v>
                </c:pt>
                <c:pt idx="358">
                  <c:v>5.1436848029974893</c:v>
                </c:pt>
                <c:pt idx="359">
                  <c:v>3.8992089383832855</c:v>
                </c:pt>
                <c:pt idx="360">
                  <c:v>5.3646775192128979</c:v>
                </c:pt>
                <c:pt idx="361">
                  <c:v>4.8056052688333741</c:v>
                </c:pt>
                <c:pt idx="362">
                  <c:v>4.4358541409249952</c:v>
                </c:pt>
                <c:pt idx="363">
                  <c:v>4.448880249959692</c:v>
                </c:pt>
                <c:pt idx="364">
                  <c:v>3.7366837521359777</c:v>
                </c:pt>
                <c:pt idx="365">
                  <c:v>4.5993608588275769</c:v>
                </c:pt>
                <c:pt idx="366">
                  <c:v>4.9551916141223433</c:v>
                </c:pt>
                <c:pt idx="367">
                  <c:v>5.0096512493467413</c:v>
                </c:pt>
                <c:pt idx="368">
                  <c:v>5.4916274376589884</c:v>
                </c:pt>
                <c:pt idx="369">
                  <c:v>4.9857854287602308</c:v>
                </c:pt>
                <c:pt idx="370">
                  <c:v>3.6552204293103081</c:v>
                </c:pt>
                <c:pt idx="371">
                  <c:v>4.7040124424794989</c:v>
                </c:pt>
                <c:pt idx="372">
                  <c:v>4.0239058665923446</c:v>
                </c:pt>
                <c:pt idx="373">
                  <c:v>3.7542222721265341</c:v>
                </c:pt>
                <c:pt idx="374">
                  <c:v>4.5757829473445915</c:v>
                </c:pt>
                <c:pt idx="375">
                  <c:v>5.0122093228239883</c:v>
                </c:pt>
                <c:pt idx="376">
                  <c:v>5.2398847839671543</c:v>
                </c:pt>
                <c:pt idx="377">
                  <c:v>5.8083459259522598</c:v>
                </c:pt>
                <c:pt idx="378">
                  <c:v>4.4109070277287126</c:v>
                </c:pt>
                <c:pt idx="379">
                  <c:v>4.6117387540525261</c:v>
                </c:pt>
                <c:pt idx="380">
                  <c:v>4.1005191826194194</c:v>
                </c:pt>
                <c:pt idx="381">
                  <c:v>4.3982897987781397</c:v>
                </c:pt>
                <c:pt idx="382">
                  <c:v>5.3171694777318574</c:v>
                </c:pt>
                <c:pt idx="383">
                  <c:v>5.7530282509842792</c:v>
                </c:pt>
                <c:pt idx="384">
                  <c:v>5.190809168889718</c:v>
                </c:pt>
                <c:pt idx="385">
                  <c:v>4.5896906744764898</c:v>
                </c:pt>
                <c:pt idx="386">
                  <c:v>5.4665985616244974</c:v>
                </c:pt>
                <c:pt idx="387">
                  <c:v>4.0984223516554508</c:v>
                </c:pt>
                <c:pt idx="388">
                  <c:v>4.9691571883624217</c:v>
                </c:pt>
                <c:pt idx="389">
                  <c:v>4.2127151475696705</c:v>
                </c:pt>
                <c:pt idx="390">
                  <c:v>3.6967178770096978</c:v>
                </c:pt>
                <c:pt idx="391">
                  <c:v>4.5304575497711337</c:v>
                </c:pt>
                <c:pt idx="392">
                  <c:v>4.213277311778028</c:v>
                </c:pt>
                <c:pt idx="393">
                  <c:v>5.125242659598757</c:v>
                </c:pt>
                <c:pt idx="394">
                  <c:v>4.2424065665923338</c:v>
                </c:pt>
                <c:pt idx="395">
                  <c:v>5.2891205962060619</c:v>
                </c:pt>
                <c:pt idx="396">
                  <c:v>5.2205204464638886</c:v>
                </c:pt>
                <c:pt idx="397">
                  <c:v>5.0191715965592332</c:v>
                </c:pt>
                <c:pt idx="398">
                  <c:v>3.8939960683234238</c:v>
                </c:pt>
                <c:pt idx="399">
                  <c:v>3.3851393395728797</c:v>
                </c:pt>
                <c:pt idx="400">
                  <c:v>5.0812750545167109</c:v>
                </c:pt>
                <c:pt idx="401">
                  <c:v>3.6507364888419471</c:v>
                </c:pt>
                <c:pt idx="402">
                  <c:v>5.4565104248712109</c:v>
                </c:pt>
                <c:pt idx="403">
                  <c:v>5.5295333630756307</c:v>
                </c:pt>
                <c:pt idx="404">
                  <c:v>3.9575181844820406</c:v>
                </c:pt>
                <c:pt idx="405">
                  <c:v>4.7129181331202465</c:v>
                </c:pt>
                <c:pt idx="406">
                  <c:v>5.4423589974900679</c:v>
                </c:pt>
                <c:pt idx="407">
                  <c:v>5.2321618089135651</c:v>
                </c:pt>
                <c:pt idx="408">
                  <c:v>4.4406063937787401</c:v>
                </c:pt>
                <c:pt idx="409">
                  <c:v>5.4606479302586113</c:v>
                </c:pt>
                <c:pt idx="410">
                  <c:v>5.0049663547916721</c:v>
                </c:pt>
                <c:pt idx="411">
                  <c:v>5.6700611388094959</c:v>
                </c:pt>
                <c:pt idx="412">
                  <c:v>4.9769561958097501</c:v>
                </c:pt>
                <c:pt idx="413">
                  <c:v>5.2072667401672366</c:v>
                </c:pt>
                <c:pt idx="414">
                  <c:v>4.0187280406889654</c:v>
                </c:pt>
                <c:pt idx="415">
                  <c:v>5.0567308636121266</c:v>
                </c:pt>
                <c:pt idx="416">
                  <c:v>5.5523318497818401</c:v>
                </c:pt>
                <c:pt idx="417">
                  <c:v>3.7830268260698587</c:v>
                </c:pt>
                <c:pt idx="418">
                  <c:v>5.1140309218871369</c:v>
                </c:pt>
                <c:pt idx="419">
                  <c:v>4.6162018343381606</c:v>
                </c:pt>
                <c:pt idx="420">
                  <c:v>5.1245495350609627</c:v>
                </c:pt>
                <c:pt idx="421">
                  <c:v>4.7270556687140441</c:v>
                </c:pt>
                <c:pt idx="422">
                  <c:v>4.2395517158779583</c:v>
                </c:pt>
                <c:pt idx="423">
                  <c:v>5.392238611586798</c:v>
                </c:pt>
                <c:pt idx="424">
                  <c:v>2.9225727806111141</c:v>
                </c:pt>
                <c:pt idx="425">
                  <c:v>4.6696326438565459</c:v>
                </c:pt>
                <c:pt idx="426">
                  <c:v>3.2500707458582756</c:v>
                </c:pt>
                <c:pt idx="427">
                  <c:v>4.0692530409693841</c:v>
                </c:pt>
                <c:pt idx="428">
                  <c:v>5.506468512019473</c:v>
                </c:pt>
                <c:pt idx="429">
                  <c:v>4.5757653168402754</c:v>
                </c:pt>
                <c:pt idx="430">
                  <c:v>5.280135517770761</c:v>
                </c:pt>
                <c:pt idx="431">
                  <c:v>5.7140485242584216</c:v>
                </c:pt>
                <c:pt idx="432">
                  <c:v>5.863270832560441</c:v>
                </c:pt>
                <c:pt idx="433">
                  <c:v>5.279928901279404</c:v>
                </c:pt>
                <c:pt idx="434">
                  <c:v>4.6773943514448408</c:v>
                </c:pt>
                <c:pt idx="435">
                  <c:v>3.484639304569666</c:v>
                </c:pt>
                <c:pt idx="436">
                  <c:v>4.6754024267542116</c:v>
                </c:pt>
                <c:pt idx="437">
                  <c:v>4.1443267503634029</c:v>
                </c:pt>
                <c:pt idx="438">
                  <c:v>5.1404321514444193</c:v>
                </c:pt>
                <c:pt idx="439">
                  <c:v>5.0835467616427961</c:v>
                </c:pt>
                <c:pt idx="440">
                  <c:v>5.0914555028008905</c:v>
                </c:pt>
                <c:pt idx="441">
                  <c:v>4.9145706346860889</c:v>
                </c:pt>
                <c:pt idx="442">
                  <c:v>3.6589460231852993</c:v>
                </c:pt>
                <c:pt idx="443">
                  <c:v>5.0228413460719015</c:v>
                </c:pt>
                <c:pt idx="444">
                  <c:v>5.4529447173706345</c:v>
                </c:pt>
                <c:pt idx="445">
                  <c:v>5.1885021467663623</c:v>
                </c:pt>
                <c:pt idx="446">
                  <c:v>4.1454357363908141</c:v>
                </c:pt>
                <c:pt idx="447">
                  <c:v>3.9086244248581057</c:v>
                </c:pt>
                <c:pt idx="448">
                  <c:v>5.3416975182032385</c:v>
                </c:pt>
                <c:pt idx="449">
                  <c:v>3.7580595577452769</c:v>
                </c:pt>
                <c:pt idx="450">
                  <c:v>5.3799530439974204</c:v>
                </c:pt>
                <c:pt idx="451">
                  <c:v>4.6397467211242933</c:v>
                </c:pt>
                <c:pt idx="452">
                  <c:v>3.5505102300062408</c:v>
                </c:pt>
                <c:pt idx="453">
                  <c:v>5.6727325669584516</c:v>
                </c:pt>
                <c:pt idx="454">
                  <c:v>4.5990631367035846</c:v>
                </c:pt>
                <c:pt idx="455">
                  <c:v>3.8973465810245429</c:v>
                </c:pt>
                <c:pt idx="456">
                  <c:v>5.2466221903084289</c:v>
                </c:pt>
                <c:pt idx="457">
                  <c:v>4.9060371605545612</c:v>
                </c:pt>
                <c:pt idx="458">
                  <c:v>5.6813162869003104</c:v>
                </c:pt>
                <c:pt idx="459">
                  <c:v>3.8936081898039747</c:v>
                </c:pt>
                <c:pt idx="460">
                  <c:v>4.5722042835807866</c:v>
                </c:pt>
                <c:pt idx="461">
                  <c:v>4.4859350507592479</c:v>
                </c:pt>
                <c:pt idx="462">
                  <c:v>4.7257543866745824</c:v>
                </c:pt>
                <c:pt idx="463">
                  <c:v>4.3565072182573035</c:v>
                </c:pt>
                <c:pt idx="464">
                  <c:v>4.0897897016954561</c:v>
                </c:pt>
                <c:pt idx="465">
                  <c:v>4.7833677599010507</c:v>
                </c:pt>
                <c:pt idx="466">
                  <c:v>4.6127785408615569</c:v>
                </c:pt>
                <c:pt idx="467">
                  <c:v>3.7877283500753198</c:v>
                </c:pt>
                <c:pt idx="468">
                  <c:v>5.5157781503749517</c:v>
                </c:pt>
                <c:pt idx="469">
                  <c:v>5.699654659331439</c:v>
                </c:pt>
                <c:pt idx="470">
                  <c:v>4.6080956000538036</c:v>
                </c:pt>
                <c:pt idx="471">
                  <c:v>5.901196546280314</c:v>
                </c:pt>
                <c:pt idx="472">
                  <c:v>5.0588799642623137</c:v>
                </c:pt>
                <c:pt idx="473">
                  <c:v>4.1766495025088037</c:v>
                </c:pt>
                <c:pt idx="474">
                  <c:v>5.0362097197483049</c:v>
                </c:pt>
                <c:pt idx="475">
                  <c:v>5.6314968107119672</c:v>
                </c:pt>
                <c:pt idx="476">
                  <c:v>4.0452685840992899</c:v>
                </c:pt>
                <c:pt idx="477">
                  <c:v>4.8567099945810979</c:v>
                </c:pt>
                <c:pt idx="478">
                  <c:v>5.4006117154633984</c:v>
                </c:pt>
                <c:pt idx="479">
                  <c:v>4.3621554736279293</c:v>
                </c:pt>
                <c:pt idx="480">
                  <c:v>4.8226717005847206</c:v>
                </c:pt>
                <c:pt idx="481">
                  <c:v>5.0283159956434877</c:v>
                </c:pt>
                <c:pt idx="482">
                  <c:v>4.8510521669509696</c:v>
                </c:pt>
                <c:pt idx="483">
                  <c:v>4.0204332635246871</c:v>
                </c:pt>
                <c:pt idx="484">
                  <c:v>4.7429860853930013</c:v>
                </c:pt>
                <c:pt idx="485">
                  <c:v>4.0847509149643759</c:v>
                </c:pt>
                <c:pt idx="486">
                  <c:v>5.050491715197472</c:v>
                </c:pt>
                <c:pt idx="487">
                  <c:v>3.9014192232399307</c:v>
                </c:pt>
                <c:pt idx="488">
                  <c:v>3.7498256596935065</c:v>
                </c:pt>
                <c:pt idx="489">
                  <c:v>3.938101633633055</c:v>
                </c:pt>
                <c:pt idx="490">
                  <c:v>4.9592539205400961</c:v>
                </c:pt>
                <c:pt idx="491">
                  <c:v>4.0337143459857243</c:v>
                </c:pt>
                <c:pt idx="492">
                  <c:v>5.1849386294749316</c:v>
                </c:pt>
                <c:pt idx="493">
                  <c:v>3.9799437311209429</c:v>
                </c:pt>
                <c:pt idx="494">
                  <c:v>4.8881900009151051</c:v>
                </c:pt>
                <c:pt idx="495">
                  <c:v>4.0463461616887564</c:v>
                </c:pt>
                <c:pt idx="496">
                  <c:v>4.3341557965316921</c:v>
                </c:pt>
                <c:pt idx="497">
                  <c:v>4.8127703494082237</c:v>
                </c:pt>
                <c:pt idx="498">
                  <c:v>5.7398283216251444</c:v>
                </c:pt>
                <c:pt idx="499">
                  <c:v>4.7882538219460731</c:v>
                </c:pt>
              </c:numCache>
            </c:numRef>
          </c:yVal>
          <c:smooth val="0"/>
          <c:extLst>
            <c:ext xmlns:c16="http://schemas.microsoft.com/office/drawing/2014/chart" uri="{C3380CC4-5D6E-409C-BE32-E72D297353CC}">
              <c16:uniqueId val="{00000002-ACB4-4031-B878-81A335BB1372}"/>
            </c:ext>
          </c:extLst>
        </c:ser>
        <c:dLbls>
          <c:showLegendKey val="0"/>
          <c:showVal val="0"/>
          <c:showCatName val="0"/>
          <c:showSerName val="0"/>
          <c:showPercent val="0"/>
          <c:showBubbleSize val="0"/>
        </c:dLbls>
        <c:axId val="1564465296"/>
        <c:axId val="1657529136"/>
      </c:scatterChart>
      <c:valAx>
        <c:axId val="1564465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LTV</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29136"/>
        <c:crosses val="autoZero"/>
        <c:crossBetween val="midCat"/>
      </c:valAx>
      <c:valAx>
        <c:axId val="1657529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Interest</a:t>
                </a:r>
                <a:r>
                  <a:rPr lang="en-IN" baseline="0"/>
                  <a:t> rate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465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DTI AND INTEREST</a:t>
            </a:r>
            <a:r>
              <a:rPr lang="en-IN" baseline="0"/>
              <a:t> RATE</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Data!$S$1:$S$7</c:f>
              <c:strCache>
                <c:ptCount val="7"/>
                <c:pt idx="6">
                  <c:v>Interest rate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34925" cap="rnd">
                <a:solidFill>
                  <a:srgbClr val="FF0000"/>
                </a:solidFill>
                <a:prstDash val="solid"/>
                <a:tailEnd type="triangle"/>
              </a:ln>
              <a:effectLst/>
            </c:spPr>
            <c:trendlineType val="linear"/>
            <c:dispRSqr val="0"/>
            <c:dispEq val="0"/>
          </c:trendline>
          <c:xVal>
            <c:numRef>
              <c:f>Data!$P$8:$P$507</c:f>
              <c:numCache>
                <c:formatCode>General</c:formatCode>
                <c:ptCount val="500"/>
                <c:pt idx="0">
                  <c:v>27</c:v>
                </c:pt>
                <c:pt idx="1">
                  <c:v>17</c:v>
                </c:pt>
                <c:pt idx="2">
                  <c:v>16</c:v>
                </c:pt>
                <c:pt idx="3">
                  <c:v>14</c:v>
                </c:pt>
                <c:pt idx="4">
                  <c:v>18</c:v>
                </c:pt>
                <c:pt idx="5">
                  <c:v>40</c:v>
                </c:pt>
                <c:pt idx="6">
                  <c:v>21</c:v>
                </c:pt>
                <c:pt idx="7">
                  <c:v>20</c:v>
                </c:pt>
                <c:pt idx="8">
                  <c:v>38</c:v>
                </c:pt>
                <c:pt idx="9">
                  <c:v>27</c:v>
                </c:pt>
                <c:pt idx="10">
                  <c:v>19</c:v>
                </c:pt>
                <c:pt idx="11">
                  <c:v>18</c:v>
                </c:pt>
                <c:pt idx="12">
                  <c:v>38</c:v>
                </c:pt>
                <c:pt idx="13">
                  <c:v>19</c:v>
                </c:pt>
                <c:pt idx="14">
                  <c:v>23</c:v>
                </c:pt>
                <c:pt idx="15">
                  <c:v>45</c:v>
                </c:pt>
                <c:pt idx="16">
                  <c:v>28</c:v>
                </c:pt>
                <c:pt idx="17">
                  <c:v>27</c:v>
                </c:pt>
                <c:pt idx="18">
                  <c:v>29</c:v>
                </c:pt>
                <c:pt idx="19">
                  <c:v>15</c:v>
                </c:pt>
                <c:pt idx="20">
                  <c:v>43</c:v>
                </c:pt>
                <c:pt idx="21">
                  <c:v>29</c:v>
                </c:pt>
                <c:pt idx="22">
                  <c:v>15</c:v>
                </c:pt>
                <c:pt idx="23">
                  <c:v>25</c:v>
                </c:pt>
                <c:pt idx="24">
                  <c:v>17</c:v>
                </c:pt>
                <c:pt idx="25">
                  <c:v>16</c:v>
                </c:pt>
                <c:pt idx="26">
                  <c:v>24</c:v>
                </c:pt>
                <c:pt idx="27">
                  <c:v>43</c:v>
                </c:pt>
                <c:pt idx="28">
                  <c:v>29</c:v>
                </c:pt>
                <c:pt idx="29">
                  <c:v>28</c:v>
                </c:pt>
                <c:pt idx="30">
                  <c:v>17</c:v>
                </c:pt>
                <c:pt idx="31">
                  <c:v>45</c:v>
                </c:pt>
                <c:pt idx="32">
                  <c:v>18</c:v>
                </c:pt>
                <c:pt idx="33">
                  <c:v>26</c:v>
                </c:pt>
                <c:pt idx="34">
                  <c:v>20</c:v>
                </c:pt>
                <c:pt idx="35">
                  <c:v>40</c:v>
                </c:pt>
                <c:pt idx="36">
                  <c:v>35</c:v>
                </c:pt>
                <c:pt idx="37">
                  <c:v>29</c:v>
                </c:pt>
                <c:pt idx="38">
                  <c:v>46</c:v>
                </c:pt>
                <c:pt idx="39">
                  <c:v>24</c:v>
                </c:pt>
                <c:pt idx="40">
                  <c:v>21</c:v>
                </c:pt>
                <c:pt idx="41">
                  <c:v>18</c:v>
                </c:pt>
                <c:pt idx="42">
                  <c:v>29</c:v>
                </c:pt>
                <c:pt idx="43">
                  <c:v>39</c:v>
                </c:pt>
                <c:pt idx="44">
                  <c:v>35</c:v>
                </c:pt>
                <c:pt idx="45">
                  <c:v>33</c:v>
                </c:pt>
                <c:pt idx="46">
                  <c:v>25</c:v>
                </c:pt>
                <c:pt idx="47">
                  <c:v>38</c:v>
                </c:pt>
                <c:pt idx="48">
                  <c:v>16</c:v>
                </c:pt>
                <c:pt idx="49">
                  <c:v>24</c:v>
                </c:pt>
                <c:pt idx="50">
                  <c:v>23</c:v>
                </c:pt>
                <c:pt idx="51">
                  <c:v>48</c:v>
                </c:pt>
                <c:pt idx="52">
                  <c:v>30</c:v>
                </c:pt>
                <c:pt idx="53">
                  <c:v>31</c:v>
                </c:pt>
                <c:pt idx="54">
                  <c:v>30</c:v>
                </c:pt>
                <c:pt idx="55">
                  <c:v>15</c:v>
                </c:pt>
                <c:pt idx="56">
                  <c:v>22</c:v>
                </c:pt>
                <c:pt idx="57">
                  <c:v>20</c:v>
                </c:pt>
                <c:pt idx="58">
                  <c:v>18</c:v>
                </c:pt>
                <c:pt idx="59">
                  <c:v>17</c:v>
                </c:pt>
                <c:pt idx="60">
                  <c:v>31</c:v>
                </c:pt>
                <c:pt idx="61">
                  <c:v>56</c:v>
                </c:pt>
                <c:pt idx="62">
                  <c:v>19</c:v>
                </c:pt>
                <c:pt idx="63">
                  <c:v>38</c:v>
                </c:pt>
                <c:pt idx="64">
                  <c:v>32</c:v>
                </c:pt>
                <c:pt idx="65">
                  <c:v>28</c:v>
                </c:pt>
                <c:pt idx="66">
                  <c:v>12</c:v>
                </c:pt>
                <c:pt idx="67">
                  <c:v>39</c:v>
                </c:pt>
                <c:pt idx="68">
                  <c:v>24</c:v>
                </c:pt>
                <c:pt idx="69">
                  <c:v>6</c:v>
                </c:pt>
                <c:pt idx="70">
                  <c:v>24</c:v>
                </c:pt>
                <c:pt idx="71">
                  <c:v>31</c:v>
                </c:pt>
                <c:pt idx="72">
                  <c:v>31</c:v>
                </c:pt>
                <c:pt idx="73">
                  <c:v>37</c:v>
                </c:pt>
                <c:pt idx="74">
                  <c:v>14</c:v>
                </c:pt>
                <c:pt idx="75">
                  <c:v>36</c:v>
                </c:pt>
                <c:pt idx="76">
                  <c:v>43</c:v>
                </c:pt>
                <c:pt idx="77">
                  <c:v>22</c:v>
                </c:pt>
                <c:pt idx="78">
                  <c:v>31</c:v>
                </c:pt>
                <c:pt idx="79">
                  <c:v>42</c:v>
                </c:pt>
                <c:pt idx="80">
                  <c:v>34</c:v>
                </c:pt>
                <c:pt idx="81">
                  <c:v>31</c:v>
                </c:pt>
                <c:pt idx="82">
                  <c:v>31</c:v>
                </c:pt>
                <c:pt idx="83">
                  <c:v>33</c:v>
                </c:pt>
                <c:pt idx="84">
                  <c:v>35</c:v>
                </c:pt>
                <c:pt idx="85">
                  <c:v>38</c:v>
                </c:pt>
                <c:pt idx="86">
                  <c:v>39</c:v>
                </c:pt>
                <c:pt idx="87">
                  <c:v>21</c:v>
                </c:pt>
                <c:pt idx="88">
                  <c:v>11</c:v>
                </c:pt>
                <c:pt idx="89">
                  <c:v>34</c:v>
                </c:pt>
                <c:pt idx="90">
                  <c:v>19</c:v>
                </c:pt>
                <c:pt idx="91">
                  <c:v>25</c:v>
                </c:pt>
                <c:pt idx="92">
                  <c:v>27</c:v>
                </c:pt>
                <c:pt idx="93">
                  <c:v>39</c:v>
                </c:pt>
                <c:pt idx="94">
                  <c:v>15</c:v>
                </c:pt>
                <c:pt idx="95">
                  <c:v>39</c:v>
                </c:pt>
                <c:pt idx="96">
                  <c:v>28</c:v>
                </c:pt>
                <c:pt idx="97">
                  <c:v>35</c:v>
                </c:pt>
                <c:pt idx="98">
                  <c:v>28</c:v>
                </c:pt>
                <c:pt idx="99">
                  <c:v>11</c:v>
                </c:pt>
                <c:pt idx="100">
                  <c:v>34</c:v>
                </c:pt>
                <c:pt idx="101">
                  <c:v>29</c:v>
                </c:pt>
                <c:pt idx="102">
                  <c:v>41</c:v>
                </c:pt>
                <c:pt idx="103">
                  <c:v>28</c:v>
                </c:pt>
                <c:pt idx="104">
                  <c:v>35</c:v>
                </c:pt>
                <c:pt idx="105">
                  <c:v>32</c:v>
                </c:pt>
                <c:pt idx="106">
                  <c:v>45</c:v>
                </c:pt>
                <c:pt idx="107">
                  <c:v>14</c:v>
                </c:pt>
                <c:pt idx="108">
                  <c:v>18</c:v>
                </c:pt>
                <c:pt idx="109">
                  <c:v>41</c:v>
                </c:pt>
                <c:pt idx="110">
                  <c:v>37</c:v>
                </c:pt>
                <c:pt idx="111">
                  <c:v>20</c:v>
                </c:pt>
                <c:pt idx="112">
                  <c:v>20</c:v>
                </c:pt>
                <c:pt idx="113">
                  <c:v>28</c:v>
                </c:pt>
                <c:pt idx="114">
                  <c:v>28</c:v>
                </c:pt>
                <c:pt idx="115">
                  <c:v>45</c:v>
                </c:pt>
                <c:pt idx="116">
                  <c:v>29</c:v>
                </c:pt>
                <c:pt idx="117">
                  <c:v>37</c:v>
                </c:pt>
                <c:pt idx="118">
                  <c:v>17</c:v>
                </c:pt>
                <c:pt idx="119">
                  <c:v>37</c:v>
                </c:pt>
                <c:pt idx="120">
                  <c:v>37</c:v>
                </c:pt>
                <c:pt idx="121">
                  <c:v>23</c:v>
                </c:pt>
                <c:pt idx="122">
                  <c:v>28</c:v>
                </c:pt>
                <c:pt idx="123">
                  <c:v>33</c:v>
                </c:pt>
                <c:pt idx="124">
                  <c:v>32</c:v>
                </c:pt>
                <c:pt idx="125">
                  <c:v>39</c:v>
                </c:pt>
                <c:pt idx="126">
                  <c:v>27</c:v>
                </c:pt>
                <c:pt idx="127">
                  <c:v>29</c:v>
                </c:pt>
                <c:pt idx="128">
                  <c:v>30</c:v>
                </c:pt>
                <c:pt idx="129">
                  <c:v>25</c:v>
                </c:pt>
                <c:pt idx="130">
                  <c:v>32</c:v>
                </c:pt>
                <c:pt idx="131">
                  <c:v>8</c:v>
                </c:pt>
                <c:pt idx="132">
                  <c:v>37</c:v>
                </c:pt>
                <c:pt idx="133">
                  <c:v>30</c:v>
                </c:pt>
                <c:pt idx="134">
                  <c:v>27</c:v>
                </c:pt>
                <c:pt idx="135">
                  <c:v>44</c:v>
                </c:pt>
                <c:pt idx="136">
                  <c:v>55</c:v>
                </c:pt>
                <c:pt idx="137">
                  <c:v>20</c:v>
                </c:pt>
                <c:pt idx="138">
                  <c:v>34</c:v>
                </c:pt>
                <c:pt idx="139">
                  <c:v>20</c:v>
                </c:pt>
                <c:pt idx="140">
                  <c:v>33.443836177667201</c:v>
                </c:pt>
                <c:pt idx="141">
                  <c:v>37</c:v>
                </c:pt>
                <c:pt idx="142">
                  <c:v>39</c:v>
                </c:pt>
                <c:pt idx="143">
                  <c:v>43</c:v>
                </c:pt>
                <c:pt idx="144">
                  <c:v>38</c:v>
                </c:pt>
                <c:pt idx="145">
                  <c:v>15</c:v>
                </c:pt>
                <c:pt idx="146">
                  <c:v>28</c:v>
                </c:pt>
                <c:pt idx="147">
                  <c:v>15</c:v>
                </c:pt>
                <c:pt idx="148">
                  <c:v>16</c:v>
                </c:pt>
                <c:pt idx="149">
                  <c:v>21</c:v>
                </c:pt>
                <c:pt idx="150">
                  <c:v>24</c:v>
                </c:pt>
                <c:pt idx="151">
                  <c:v>20</c:v>
                </c:pt>
                <c:pt idx="152">
                  <c:v>24</c:v>
                </c:pt>
                <c:pt idx="153">
                  <c:v>27</c:v>
                </c:pt>
                <c:pt idx="154">
                  <c:v>31</c:v>
                </c:pt>
                <c:pt idx="155">
                  <c:v>32</c:v>
                </c:pt>
                <c:pt idx="156">
                  <c:v>36</c:v>
                </c:pt>
                <c:pt idx="157">
                  <c:v>37</c:v>
                </c:pt>
                <c:pt idx="158">
                  <c:v>39</c:v>
                </c:pt>
                <c:pt idx="159">
                  <c:v>40</c:v>
                </c:pt>
                <c:pt idx="160">
                  <c:v>42</c:v>
                </c:pt>
                <c:pt idx="161">
                  <c:v>46</c:v>
                </c:pt>
                <c:pt idx="162">
                  <c:v>22</c:v>
                </c:pt>
                <c:pt idx="163">
                  <c:v>24</c:v>
                </c:pt>
                <c:pt idx="164">
                  <c:v>35</c:v>
                </c:pt>
                <c:pt idx="165">
                  <c:v>36</c:v>
                </c:pt>
                <c:pt idx="166">
                  <c:v>36</c:v>
                </c:pt>
                <c:pt idx="167">
                  <c:v>33.443836177667201</c:v>
                </c:pt>
                <c:pt idx="168">
                  <c:v>17</c:v>
                </c:pt>
                <c:pt idx="169">
                  <c:v>22</c:v>
                </c:pt>
                <c:pt idx="170">
                  <c:v>13</c:v>
                </c:pt>
                <c:pt idx="171">
                  <c:v>53</c:v>
                </c:pt>
                <c:pt idx="172">
                  <c:v>14</c:v>
                </c:pt>
                <c:pt idx="173">
                  <c:v>10</c:v>
                </c:pt>
                <c:pt idx="174">
                  <c:v>16</c:v>
                </c:pt>
                <c:pt idx="175">
                  <c:v>33</c:v>
                </c:pt>
                <c:pt idx="176">
                  <c:v>33.443836177667201</c:v>
                </c:pt>
                <c:pt idx="177">
                  <c:v>16</c:v>
                </c:pt>
                <c:pt idx="178">
                  <c:v>19</c:v>
                </c:pt>
                <c:pt idx="179">
                  <c:v>33.443836177667201</c:v>
                </c:pt>
                <c:pt idx="180">
                  <c:v>22</c:v>
                </c:pt>
                <c:pt idx="181">
                  <c:v>30</c:v>
                </c:pt>
                <c:pt idx="182">
                  <c:v>12</c:v>
                </c:pt>
                <c:pt idx="183">
                  <c:v>16</c:v>
                </c:pt>
                <c:pt idx="184">
                  <c:v>38</c:v>
                </c:pt>
                <c:pt idx="185">
                  <c:v>40</c:v>
                </c:pt>
                <c:pt idx="186">
                  <c:v>33.443836177667201</c:v>
                </c:pt>
                <c:pt idx="187">
                  <c:v>34</c:v>
                </c:pt>
                <c:pt idx="188">
                  <c:v>30</c:v>
                </c:pt>
                <c:pt idx="189">
                  <c:v>25</c:v>
                </c:pt>
                <c:pt idx="190">
                  <c:v>33.443836177667201</c:v>
                </c:pt>
                <c:pt idx="191">
                  <c:v>13</c:v>
                </c:pt>
                <c:pt idx="192">
                  <c:v>16</c:v>
                </c:pt>
                <c:pt idx="193">
                  <c:v>32</c:v>
                </c:pt>
                <c:pt idx="194">
                  <c:v>41</c:v>
                </c:pt>
                <c:pt idx="195">
                  <c:v>33.443836177667201</c:v>
                </c:pt>
                <c:pt idx="196">
                  <c:v>33.443836177667201</c:v>
                </c:pt>
                <c:pt idx="197">
                  <c:v>9</c:v>
                </c:pt>
                <c:pt idx="198">
                  <c:v>31</c:v>
                </c:pt>
                <c:pt idx="199">
                  <c:v>29</c:v>
                </c:pt>
                <c:pt idx="200">
                  <c:v>33</c:v>
                </c:pt>
                <c:pt idx="201">
                  <c:v>14</c:v>
                </c:pt>
                <c:pt idx="202">
                  <c:v>18</c:v>
                </c:pt>
                <c:pt idx="203">
                  <c:v>23</c:v>
                </c:pt>
                <c:pt idx="204">
                  <c:v>27</c:v>
                </c:pt>
                <c:pt idx="205">
                  <c:v>20</c:v>
                </c:pt>
                <c:pt idx="206">
                  <c:v>33.443836177667201</c:v>
                </c:pt>
                <c:pt idx="207">
                  <c:v>41</c:v>
                </c:pt>
                <c:pt idx="208">
                  <c:v>9</c:v>
                </c:pt>
                <c:pt idx="209">
                  <c:v>25</c:v>
                </c:pt>
                <c:pt idx="210">
                  <c:v>41</c:v>
                </c:pt>
                <c:pt idx="211">
                  <c:v>34</c:v>
                </c:pt>
                <c:pt idx="212">
                  <c:v>33.443836177667201</c:v>
                </c:pt>
                <c:pt idx="213">
                  <c:v>33.443836177667201</c:v>
                </c:pt>
                <c:pt idx="214">
                  <c:v>27</c:v>
                </c:pt>
                <c:pt idx="215">
                  <c:v>15</c:v>
                </c:pt>
                <c:pt idx="216">
                  <c:v>25</c:v>
                </c:pt>
                <c:pt idx="217">
                  <c:v>32</c:v>
                </c:pt>
                <c:pt idx="218">
                  <c:v>33.443836177667201</c:v>
                </c:pt>
                <c:pt idx="219">
                  <c:v>35</c:v>
                </c:pt>
                <c:pt idx="220">
                  <c:v>25</c:v>
                </c:pt>
                <c:pt idx="221">
                  <c:v>19</c:v>
                </c:pt>
                <c:pt idx="222">
                  <c:v>33</c:v>
                </c:pt>
                <c:pt idx="223">
                  <c:v>37</c:v>
                </c:pt>
                <c:pt idx="224">
                  <c:v>32</c:v>
                </c:pt>
                <c:pt idx="225">
                  <c:v>32</c:v>
                </c:pt>
                <c:pt idx="226">
                  <c:v>37</c:v>
                </c:pt>
                <c:pt idx="227">
                  <c:v>24</c:v>
                </c:pt>
                <c:pt idx="228">
                  <c:v>26</c:v>
                </c:pt>
                <c:pt idx="229">
                  <c:v>37</c:v>
                </c:pt>
                <c:pt idx="230">
                  <c:v>27</c:v>
                </c:pt>
                <c:pt idx="231">
                  <c:v>23</c:v>
                </c:pt>
                <c:pt idx="232">
                  <c:v>32</c:v>
                </c:pt>
                <c:pt idx="233">
                  <c:v>26</c:v>
                </c:pt>
                <c:pt idx="234">
                  <c:v>28</c:v>
                </c:pt>
                <c:pt idx="235">
                  <c:v>26</c:v>
                </c:pt>
                <c:pt idx="236">
                  <c:v>27</c:v>
                </c:pt>
                <c:pt idx="237">
                  <c:v>38</c:v>
                </c:pt>
                <c:pt idx="238">
                  <c:v>33</c:v>
                </c:pt>
                <c:pt idx="239">
                  <c:v>28</c:v>
                </c:pt>
                <c:pt idx="240">
                  <c:v>28</c:v>
                </c:pt>
                <c:pt idx="241">
                  <c:v>26</c:v>
                </c:pt>
                <c:pt idx="242">
                  <c:v>28</c:v>
                </c:pt>
                <c:pt idx="243">
                  <c:v>27</c:v>
                </c:pt>
                <c:pt idx="244">
                  <c:v>33</c:v>
                </c:pt>
                <c:pt idx="245">
                  <c:v>20</c:v>
                </c:pt>
                <c:pt idx="246">
                  <c:v>26</c:v>
                </c:pt>
                <c:pt idx="247">
                  <c:v>33</c:v>
                </c:pt>
                <c:pt idx="248">
                  <c:v>12</c:v>
                </c:pt>
                <c:pt idx="249">
                  <c:v>26</c:v>
                </c:pt>
                <c:pt idx="250">
                  <c:v>28</c:v>
                </c:pt>
                <c:pt idx="251">
                  <c:v>30</c:v>
                </c:pt>
                <c:pt idx="252">
                  <c:v>38</c:v>
                </c:pt>
                <c:pt idx="253">
                  <c:v>35</c:v>
                </c:pt>
                <c:pt idx="254">
                  <c:v>38</c:v>
                </c:pt>
                <c:pt idx="255">
                  <c:v>29</c:v>
                </c:pt>
                <c:pt idx="256">
                  <c:v>31</c:v>
                </c:pt>
                <c:pt idx="257">
                  <c:v>40</c:v>
                </c:pt>
                <c:pt idx="258">
                  <c:v>40</c:v>
                </c:pt>
                <c:pt idx="259">
                  <c:v>31</c:v>
                </c:pt>
                <c:pt idx="260">
                  <c:v>30</c:v>
                </c:pt>
                <c:pt idx="261">
                  <c:v>42</c:v>
                </c:pt>
                <c:pt idx="262">
                  <c:v>48</c:v>
                </c:pt>
                <c:pt idx="263">
                  <c:v>21</c:v>
                </c:pt>
                <c:pt idx="264">
                  <c:v>51</c:v>
                </c:pt>
                <c:pt idx="265">
                  <c:v>27</c:v>
                </c:pt>
                <c:pt idx="266">
                  <c:v>35</c:v>
                </c:pt>
                <c:pt idx="267">
                  <c:v>26</c:v>
                </c:pt>
                <c:pt idx="268">
                  <c:v>21</c:v>
                </c:pt>
                <c:pt idx="269">
                  <c:v>31</c:v>
                </c:pt>
                <c:pt idx="270">
                  <c:v>10</c:v>
                </c:pt>
                <c:pt idx="271">
                  <c:v>33</c:v>
                </c:pt>
                <c:pt idx="272">
                  <c:v>8</c:v>
                </c:pt>
                <c:pt idx="273">
                  <c:v>26</c:v>
                </c:pt>
                <c:pt idx="274">
                  <c:v>11</c:v>
                </c:pt>
                <c:pt idx="275">
                  <c:v>23</c:v>
                </c:pt>
                <c:pt idx="276">
                  <c:v>42</c:v>
                </c:pt>
                <c:pt idx="277">
                  <c:v>28</c:v>
                </c:pt>
                <c:pt idx="278">
                  <c:v>34</c:v>
                </c:pt>
                <c:pt idx="279">
                  <c:v>33</c:v>
                </c:pt>
                <c:pt idx="280">
                  <c:v>20</c:v>
                </c:pt>
                <c:pt idx="281">
                  <c:v>21</c:v>
                </c:pt>
                <c:pt idx="282">
                  <c:v>22</c:v>
                </c:pt>
                <c:pt idx="283">
                  <c:v>22</c:v>
                </c:pt>
                <c:pt idx="284">
                  <c:v>23</c:v>
                </c:pt>
                <c:pt idx="285">
                  <c:v>38</c:v>
                </c:pt>
                <c:pt idx="286">
                  <c:v>23</c:v>
                </c:pt>
                <c:pt idx="287">
                  <c:v>22</c:v>
                </c:pt>
                <c:pt idx="288">
                  <c:v>23</c:v>
                </c:pt>
                <c:pt idx="289">
                  <c:v>19</c:v>
                </c:pt>
                <c:pt idx="290">
                  <c:v>7</c:v>
                </c:pt>
                <c:pt idx="291">
                  <c:v>22</c:v>
                </c:pt>
                <c:pt idx="292">
                  <c:v>38</c:v>
                </c:pt>
                <c:pt idx="293">
                  <c:v>34</c:v>
                </c:pt>
                <c:pt idx="294">
                  <c:v>28</c:v>
                </c:pt>
                <c:pt idx="295">
                  <c:v>29</c:v>
                </c:pt>
                <c:pt idx="296">
                  <c:v>16</c:v>
                </c:pt>
                <c:pt idx="297">
                  <c:v>30</c:v>
                </c:pt>
                <c:pt idx="298">
                  <c:v>20</c:v>
                </c:pt>
                <c:pt idx="299">
                  <c:v>39</c:v>
                </c:pt>
                <c:pt idx="300">
                  <c:v>30</c:v>
                </c:pt>
                <c:pt idx="301">
                  <c:v>11</c:v>
                </c:pt>
                <c:pt idx="302">
                  <c:v>47</c:v>
                </c:pt>
                <c:pt idx="303">
                  <c:v>12</c:v>
                </c:pt>
                <c:pt idx="304">
                  <c:v>23</c:v>
                </c:pt>
                <c:pt idx="305">
                  <c:v>44</c:v>
                </c:pt>
                <c:pt idx="306">
                  <c:v>23</c:v>
                </c:pt>
                <c:pt idx="307">
                  <c:v>9</c:v>
                </c:pt>
                <c:pt idx="308">
                  <c:v>13</c:v>
                </c:pt>
                <c:pt idx="309">
                  <c:v>29</c:v>
                </c:pt>
                <c:pt idx="310">
                  <c:v>34</c:v>
                </c:pt>
                <c:pt idx="311">
                  <c:v>23</c:v>
                </c:pt>
                <c:pt idx="312">
                  <c:v>40</c:v>
                </c:pt>
                <c:pt idx="313">
                  <c:v>35</c:v>
                </c:pt>
                <c:pt idx="314">
                  <c:v>37</c:v>
                </c:pt>
                <c:pt idx="315">
                  <c:v>42</c:v>
                </c:pt>
                <c:pt idx="316">
                  <c:v>26</c:v>
                </c:pt>
                <c:pt idx="317">
                  <c:v>47</c:v>
                </c:pt>
                <c:pt idx="318">
                  <c:v>65</c:v>
                </c:pt>
                <c:pt idx="319">
                  <c:v>22</c:v>
                </c:pt>
                <c:pt idx="320">
                  <c:v>25</c:v>
                </c:pt>
                <c:pt idx="321">
                  <c:v>33.443836177667201</c:v>
                </c:pt>
                <c:pt idx="322">
                  <c:v>54</c:v>
                </c:pt>
                <c:pt idx="323">
                  <c:v>26</c:v>
                </c:pt>
                <c:pt idx="324">
                  <c:v>38</c:v>
                </c:pt>
                <c:pt idx="325">
                  <c:v>36</c:v>
                </c:pt>
                <c:pt idx="326">
                  <c:v>36</c:v>
                </c:pt>
                <c:pt idx="327">
                  <c:v>31</c:v>
                </c:pt>
                <c:pt idx="328">
                  <c:v>33</c:v>
                </c:pt>
                <c:pt idx="329">
                  <c:v>35</c:v>
                </c:pt>
                <c:pt idx="330">
                  <c:v>42</c:v>
                </c:pt>
                <c:pt idx="331">
                  <c:v>41</c:v>
                </c:pt>
                <c:pt idx="332">
                  <c:v>22</c:v>
                </c:pt>
                <c:pt idx="333">
                  <c:v>38</c:v>
                </c:pt>
                <c:pt idx="334">
                  <c:v>42</c:v>
                </c:pt>
                <c:pt idx="335">
                  <c:v>7</c:v>
                </c:pt>
                <c:pt idx="336">
                  <c:v>24</c:v>
                </c:pt>
                <c:pt idx="337">
                  <c:v>44</c:v>
                </c:pt>
                <c:pt idx="338">
                  <c:v>43</c:v>
                </c:pt>
                <c:pt idx="339">
                  <c:v>19</c:v>
                </c:pt>
                <c:pt idx="340">
                  <c:v>21</c:v>
                </c:pt>
                <c:pt idx="341">
                  <c:v>28</c:v>
                </c:pt>
                <c:pt idx="342">
                  <c:v>26</c:v>
                </c:pt>
                <c:pt idx="343">
                  <c:v>16</c:v>
                </c:pt>
                <c:pt idx="344">
                  <c:v>28</c:v>
                </c:pt>
                <c:pt idx="345">
                  <c:v>25</c:v>
                </c:pt>
                <c:pt idx="346">
                  <c:v>27</c:v>
                </c:pt>
                <c:pt idx="347">
                  <c:v>16</c:v>
                </c:pt>
                <c:pt idx="348">
                  <c:v>21</c:v>
                </c:pt>
                <c:pt idx="349">
                  <c:v>32</c:v>
                </c:pt>
                <c:pt idx="350">
                  <c:v>31</c:v>
                </c:pt>
                <c:pt idx="351">
                  <c:v>20</c:v>
                </c:pt>
                <c:pt idx="352">
                  <c:v>23</c:v>
                </c:pt>
                <c:pt idx="353">
                  <c:v>48</c:v>
                </c:pt>
                <c:pt idx="354">
                  <c:v>38</c:v>
                </c:pt>
                <c:pt idx="355">
                  <c:v>30</c:v>
                </c:pt>
                <c:pt idx="356">
                  <c:v>2</c:v>
                </c:pt>
                <c:pt idx="357">
                  <c:v>2</c:v>
                </c:pt>
                <c:pt idx="358">
                  <c:v>2</c:v>
                </c:pt>
                <c:pt idx="359">
                  <c:v>20</c:v>
                </c:pt>
                <c:pt idx="360">
                  <c:v>34</c:v>
                </c:pt>
                <c:pt idx="361">
                  <c:v>24</c:v>
                </c:pt>
                <c:pt idx="362">
                  <c:v>33</c:v>
                </c:pt>
                <c:pt idx="363">
                  <c:v>7</c:v>
                </c:pt>
                <c:pt idx="364">
                  <c:v>26</c:v>
                </c:pt>
                <c:pt idx="365">
                  <c:v>35</c:v>
                </c:pt>
                <c:pt idx="366">
                  <c:v>42</c:v>
                </c:pt>
                <c:pt idx="367">
                  <c:v>28</c:v>
                </c:pt>
                <c:pt idx="368">
                  <c:v>34</c:v>
                </c:pt>
                <c:pt idx="369">
                  <c:v>56</c:v>
                </c:pt>
                <c:pt idx="370">
                  <c:v>12</c:v>
                </c:pt>
                <c:pt idx="371">
                  <c:v>39</c:v>
                </c:pt>
                <c:pt idx="372">
                  <c:v>24</c:v>
                </c:pt>
                <c:pt idx="373">
                  <c:v>25</c:v>
                </c:pt>
                <c:pt idx="374">
                  <c:v>33</c:v>
                </c:pt>
                <c:pt idx="375">
                  <c:v>33</c:v>
                </c:pt>
                <c:pt idx="376">
                  <c:v>38</c:v>
                </c:pt>
                <c:pt idx="377">
                  <c:v>43</c:v>
                </c:pt>
                <c:pt idx="378">
                  <c:v>53</c:v>
                </c:pt>
                <c:pt idx="379">
                  <c:v>32</c:v>
                </c:pt>
                <c:pt idx="380">
                  <c:v>15</c:v>
                </c:pt>
                <c:pt idx="381">
                  <c:v>39</c:v>
                </c:pt>
                <c:pt idx="382">
                  <c:v>35</c:v>
                </c:pt>
                <c:pt idx="383">
                  <c:v>22</c:v>
                </c:pt>
                <c:pt idx="384">
                  <c:v>41</c:v>
                </c:pt>
                <c:pt idx="385">
                  <c:v>27</c:v>
                </c:pt>
                <c:pt idx="386">
                  <c:v>22</c:v>
                </c:pt>
                <c:pt idx="387">
                  <c:v>26</c:v>
                </c:pt>
                <c:pt idx="388">
                  <c:v>26</c:v>
                </c:pt>
                <c:pt idx="389">
                  <c:v>27</c:v>
                </c:pt>
                <c:pt idx="390">
                  <c:v>28</c:v>
                </c:pt>
                <c:pt idx="391">
                  <c:v>38</c:v>
                </c:pt>
                <c:pt idx="392">
                  <c:v>18</c:v>
                </c:pt>
                <c:pt idx="393">
                  <c:v>41</c:v>
                </c:pt>
                <c:pt idx="394">
                  <c:v>15</c:v>
                </c:pt>
                <c:pt idx="395">
                  <c:v>32</c:v>
                </c:pt>
                <c:pt idx="396">
                  <c:v>22</c:v>
                </c:pt>
                <c:pt idx="397">
                  <c:v>34</c:v>
                </c:pt>
                <c:pt idx="398">
                  <c:v>41</c:v>
                </c:pt>
                <c:pt idx="399">
                  <c:v>19</c:v>
                </c:pt>
                <c:pt idx="400">
                  <c:v>15</c:v>
                </c:pt>
                <c:pt idx="401">
                  <c:v>22</c:v>
                </c:pt>
                <c:pt idx="402">
                  <c:v>28</c:v>
                </c:pt>
                <c:pt idx="403">
                  <c:v>36</c:v>
                </c:pt>
                <c:pt idx="404">
                  <c:v>56</c:v>
                </c:pt>
                <c:pt idx="405">
                  <c:v>25</c:v>
                </c:pt>
                <c:pt idx="406">
                  <c:v>37</c:v>
                </c:pt>
                <c:pt idx="407">
                  <c:v>32</c:v>
                </c:pt>
                <c:pt idx="408">
                  <c:v>55</c:v>
                </c:pt>
                <c:pt idx="409">
                  <c:v>27</c:v>
                </c:pt>
                <c:pt idx="410">
                  <c:v>45</c:v>
                </c:pt>
                <c:pt idx="411">
                  <c:v>48</c:v>
                </c:pt>
                <c:pt idx="412">
                  <c:v>10</c:v>
                </c:pt>
                <c:pt idx="413">
                  <c:v>17</c:v>
                </c:pt>
                <c:pt idx="414">
                  <c:v>29</c:v>
                </c:pt>
                <c:pt idx="415">
                  <c:v>39</c:v>
                </c:pt>
                <c:pt idx="416">
                  <c:v>29</c:v>
                </c:pt>
                <c:pt idx="417">
                  <c:v>26</c:v>
                </c:pt>
                <c:pt idx="418">
                  <c:v>32</c:v>
                </c:pt>
                <c:pt idx="419">
                  <c:v>15</c:v>
                </c:pt>
                <c:pt idx="420">
                  <c:v>39</c:v>
                </c:pt>
                <c:pt idx="421">
                  <c:v>14</c:v>
                </c:pt>
                <c:pt idx="422">
                  <c:v>33</c:v>
                </c:pt>
                <c:pt idx="423">
                  <c:v>25</c:v>
                </c:pt>
                <c:pt idx="424">
                  <c:v>20</c:v>
                </c:pt>
                <c:pt idx="425">
                  <c:v>25</c:v>
                </c:pt>
                <c:pt idx="426">
                  <c:v>11</c:v>
                </c:pt>
                <c:pt idx="427">
                  <c:v>15</c:v>
                </c:pt>
                <c:pt idx="428">
                  <c:v>29</c:v>
                </c:pt>
                <c:pt idx="429">
                  <c:v>29</c:v>
                </c:pt>
                <c:pt idx="430">
                  <c:v>31</c:v>
                </c:pt>
                <c:pt idx="431">
                  <c:v>42</c:v>
                </c:pt>
                <c:pt idx="432">
                  <c:v>44</c:v>
                </c:pt>
                <c:pt idx="433">
                  <c:v>44</c:v>
                </c:pt>
                <c:pt idx="434">
                  <c:v>33</c:v>
                </c:pt>
                <c:pt idx="435">
                  <c:v>28</c:v>
                </c:pt>
                <c:pt idx="436">
                  <c:v>56</c:v>
                </c:pt>
                <c:pt idx="437">
                  <c:v>28</c:v>
                </c:pt>
                <c:pt idx="438">
                  <c:v>31</c:v>
                </c:pt>
                <c:pt idx="439">
                  <c:v>34</c:v>
                </c:pt>
                <c:pt idx="440">
                  <c:v>36</c:v>
                </c:pt>
                <c:pt idx="441">
                  <c:v>32</c:v>
                </c:pt>
                <c:pt idx="442">
                  <c:v>12</c:v>
                </c:pt>
                <c:pt idx="443">
                  <c:v>51</c:v>
                </c:pt>
                <c:pt idx="444">
                  <c:v>39</c:v>
                </c:pt>
                <c:pt idx="445">
                  <c:v>42</c:v>
                </c:pt>
                <c:pt idx="446">
                  <c:v>17</c:v>
                </c:pt>
                <c:pt idx="447">
                  <c:v>25</c:v>
                </c:pt>
                <c:pt idx="448">
                  <c:v>57</c:v>
                </c:pt>
                <c:pt idx="449">
                  <c:v>26</c:v>
                </c:pt>
                <c:pt idx="450">
                  <c:v>39</c:v>
                </c:pt>
                <c:pt idx="451">
                  <c:v>38</c:v>
                </c:pt>
                <c:pt idx="452">
                  <c:v>13</c:v>
                </c:pt>
                <c:pt idx="453">
                  <c:v>39</c:v>
                </c:pt>
                <c:pt idx="454">
                  <c:v>37</c:v>
                </c:pt>
                <c:pt idx="455">
                  <c:v>27</c:v>
                </c:pt>
                <c:pt idx="456">
                  <c:v>19</c:v>
                </c:pt>
                <c:pt idx="457">
                  <c:v>32</c:v>
                </c:pt>
                <c:pt idx="458">
                  <c:v>40</c:v>
                </c:pt>
                <c:pt idx="459">
                  <c:v>23</c:v>
                </c:pt>
                <c:pt idx="460">
                  <c:v>20</c:v>
                </c:pt>
                <c:pt idx="461">
                  <c:v>26</c:v>
                </c:pt>
                <c:pt idx="462">
                  <c:v>33</c:v>
                </c:pt>
                <c:pt idx="463">
                  <c:v>26</c:v>
                </c:pt>
                <c:pt idx="464">
                  <c:v>16</c:v>
                </c:pt>
                <c:pt idx="465">
                  <c:v>46</c:v>
                </c:pt>
                <c:pt idx="466">
                  <c:v>27</c:v>
                </c:pt>
                <c:pt idx="467">
                  <c:v>34</c:v>
                </c:pt>
                <c:pt idx="468">
                  <c:v>40</c:v>
                </c:pt>
                <c:pt idx="469">
                  <c:v>16</c:v>
                </c:pt>
                <c:pt idx="470">
                  <c:v>35</c:v>
                </c:pt>
                <c:pt idx="471">
                  <c:v>32</c:v>
                </c:pt>
                <c:pt idx="472">
                  <c:v>26</c:v>
                </c:pt>
                <c:pt idx="473">
                  <c:v>31</c:v>
                </c:pt>
                <c:pt idx="474">
                  <c:v>37</c:v>
                </c:pt>
                <c:pt idx="475">
                  <c:v>57</c:v>
                </c:pt>
                <c:pt idx="476">
                  <c:v>5</c:v>
                </c:pt>
                <c:pt idx="477">
                  <c:v>27</c:v>
                </c:pt>
                <c:pt idx="478">
                  <c:v>45</c:v>
                </c:pt>
                <c:pt idx="479">
                  <c:v>19</c:v>
                </c:pt>
                <c:pt idx="480">
                  <c:v>25</c:v>
                </c:pt>
                <c:pt idx="481">
                  <c:v>28</c:v>
                </c:pt>
                <c:pt idx="482">
                  <c:v>38</c:v>
                </c:pt>
                <c:pt idx="483">
                  <c:v>28</c:v>
                </c:pt>
                <c:pt idx="484">
                  <c:v>33</c:v>
                </c:pt>
                <c:pt idx="485">
                  <c:v>35</c:v>
                </c:pt>
                <c:pt idx="486">
                  <c:v>14</c:v>
                </c:pt>
                <c:pt idx="487">
                  <c:v>2</c:v>
                </c:pt>
                <c:pt idx="488">
                  <c:v>2</c:v>
                </c:pt>
                <c:pt idx="489">
                  <c:v>3</c:v>
                </c:pt>
                <c:pt idx="490">
                  <c:v>3</c:v>
                </c:pt>
                <c:pt idx="491">
                  <c:v>3</c:v>
                </c:pt>
                <c:pt idx="492">
                  <c:v>57</c:v>
                </c:pt>
                <c:pt idx="493">
                  <c:v>4</c:v>
                </c:pt>
                <c:pt idx="494">
                  <c:v>3</c:v>
                </c:pt>
                <c:pt idx="495">
                  <c:v>4</c:v>
                </c:pt>
                <c:pt idx="496">
                  <c:v>35</c:v>
                </c:pt>
                <c:pt idx="497">
                  <c:v>39</c:v>
                </c:pt>
                <c:pt idx="498">
                  <c:v>40</c:v>
                </c:pt>
                <c:pt idx="499">
                  <c:v>28</c:v>
                </c:pt>
              </c:numCache>
            </c:numRef>
          </c:xVal>
          <c:yVal>
            <c:numRef>
              <c:f>Data!$S$8:$S$507</c:f>
              <c:numCache>
                <c:formatCode>General</c:formatCode>
                <c:ptCount val="500"/>
                <c:pt idx="0">
                  <c:v>3.97710830680133</c:v>
                </c:pt>
                <c:pt idx="1">
                  <c:v>4.2665573473331158</c:v>
                </c:pt>
                <c:pt idx="2">
                  <c:v>4.5476992869435744</c:v>
                </c:pt>
                <c:pt idx="3">
                  <c:v>4.5634247892997601</c:v>
                </c:pt>
                <c:pt idx="4">
                  <c:v>4.1439777595261136</c:v>
                </c:pt>
                <c:pt idx="5">
                  <c:v>3.9138775192013733</c:v>
                </c:pt>
                <c:pt idx="6">
                  <c:v>3.6143409898154979</c:v>
                </c:pt>
                <c:pt idx="7">
                  <c:v>4.8330735984263438</c:v>
                </c:pt>
                <c:pt idx="8">
                  <c:v>4.3186403811677989</c:v>
                </c:pt>
                <c:pt idx="9">
                  <c:v>4.4012412281791891</c:v>
                </c:pt>
                <c:pt idx="10">
                  <c:v>4.4200982226490666</c:v>
                </c:pt>
                <c:pt idx="11">
                  <c:v>4.3858392178085222</c:v>
                </c:pt>
                <c:pt idx="12">
                  <c:v>4.7420221242895124</c:v>
                </c:pt>
                <c:pt idx="13">
                  <c:v>4.919248671961947</c:v>
                </c:pt>
                <c:pt idx="14">
                  <c:v>4.851403347298084</c:v>
                </c:pt>
                <c:pt idx="15">
                  <c:v>4.1906857199318317</c:v>
                </c:pt>
                <c:pt idx="16">
                  <c:v>3.8603923074642967</c:v>
                </c:pt>
                <c:pt idx="17">
                  <c:v>4.335085452342172</c:v>
                </c:pt>
                <c:pt idx="18">
                  <c:v>4.065225638652187</c:v>
                </c:pt>
                <c:pt idx="19">
                  <c:v>4.2688484576273513</c:v>
                </c:pt>
                <c:pt idx="20">
                  <c:v>4.2914308925151268</c:v>
                </c:pt>
                <c:pt idx="21">
                  <c:v>4.3854445445538577</c:v>
                </c:pt>
                <c:pt idx="22">
                  <c:v>4.6761646410870306</c:v>
                </c:pt>
                <c:pt idx="23">
                  <c:v>3.8365440253237555</c:v>
                </c:pt>
                <c:pt idx="24">
                  <c:v>4.6122789227551575</c:v>
                </c:pt>
                <c:pt idx="25">
                  <c:v>3.7285968423074998</c:v>
                </c:pt>
                <c:pt idx="26">
                  <c:v>3.2761775489326057</c:v>
                </c:pt>
                <c:pt idx="27">
                  <c:v>4.6378882895971527</c:v>
                </c:pt>
                <c:pt idx="28">
                  <c:v>4.7213897262510667</c:v>
                </c:pt>
                <c:pt idx="29">
                  <c:v>3.710739887502716</c:v>
                </c:pt>
                <c:pt idx="30">
                  <c:v>5.2642577249176199</c:v>
                </c:pt>
                <c:pt idx="31">
                  <c:v>4.8916734226099692</c:v>
                </c:pt>
                <c:pt idx="32">
                  <c:v>3.7801924977098058</c:v>
                </c:pt>
                <c:pt idx="33">
                  <c:v>4.1052728124021804</c:v>
                </c:pt>
                <c:pt idx="34">
                  <c:v>4.2699450376932857</c:v>
                </c:pt>
                <c:pt idx="35">
                  <c:v>5.5774741625451618</c:v>
                </c:pt>
                <c:pt idx="36">
                  <c:v>5.5483238711825109</c:v>
                </c:pt>
                <c:pt idx="37">
                  <c:v>5.6883729994648604</c:v>
                </c:pt>
                <c:pt idx="38">
                  <c:v>4.670189246697932</c:v>
                </c:pt>
                <c:pt idx="39">
                  <c:v>4.702726849105666</c:v>
                </c:pt>
                <c:pt idx="40">
                  <c:v>3.4649808946669109</c:v>
                </c:pt>
                <c:pt idx="41">
                  <c:v>5.5115362353141766</c:v>
                </c:pt>
                <c:pt idx="42">
                  <c:v>4.7189934257404449</c:v>
                </c:pt>
                <c:pt idx="43">
                  <c:v>5.2697125495457682</c:v>
                </c:pt>
                <c:pt idx="44">
                  <c:v>4.2003931367239415</c:v>
                </c:pt>
                <c:pt idx="45">
                  <c:v>4.9676765857485616</c:v>
                </c:pt>
                <c:pt idx="46">
                  <c:v>5.2528602364581367</c:v>
                </c:pt>
                <c:pt idx="47">
                  <c:v>4.6229874755643889</c:v>
                </c:pt>
                <c:pt idx="48">
                  <c:v>3.2507288671297903</c:v>
                </c:pt>
                <c:pt idx="49">
                  <c:v>5.8282319836501451</c:v>
                </c:pt>
                <c:pt idx="50">
                  <c:v>3.8291778574695403</c:v>
                </c:pt>
                <c:pt idx="51">
                  <c:v>6.3313891262751074</c:v>
                </c:pt>
                <c:pt idx="52">
                  <c:v>4.1742018412203787</c:v>
                </c:pt>
                <c:pt idx="53">
                  <c:v>4.8930189370082173</c:v>
                </c:pt>
                <c:pt idx="54">
                  <c:v>4.0447807755605316</c:v>
                </c:pt>
                <c:pt idx="55">
                  <c:v>4.7803614272004591</c:v>
                </c:pt>
                <c:pt idx="56">
                  <c:v>5.2163198711935976</c:v>
                </c:pt>
                <c:pt idx="57">
                  <c:v>3.5968985736336343</c:v>
                </c:pt>
                <c:pt idx="58">
                  <c:v>3.6241489603514507</c:v>
                </c:pt>
                <c:pt idx="59">
                  <c:v>4.1429750992075771</c:v>
                </c:pt>
                <c:pt idx="60">
                  <c:v>3.7196751104277688</c:v>
                </c:pt>
                <c:pt idx="61">
                  <c:v>4.9285413239571989</c:v>
                </c:pt>
                <c:pt idx="62">
                  <c:v>4.108735852523755</c:v>
                </c:pt>
                <c:pt idx="63">
                  <c:v>5.3240370435441973</c:v>
                </c:pt>
                <c:pt idx="64">
                  <c:v>5.425396761931637</c:v>
                </c:pt>
                <c:pt idx="65">
                  <c:v>5.070394642019588</c:v>
                </c:pt>
                <c:pt idx="66">
                  <c:v>4.6738606853540849</c:v>
                </c:pt>
                <c:pt idx="67">
                  <c:v>4.9154583194046735</c:v>
                </c:pt>
                <c:pt idx="68">
                  <c:v>5.713482361284818</c:v>
                </c:pt>
                <c:pt idx="69">
                  <c:v>3.9244197787571098</c:v>
                </c:pt>
                <c:pt idx="70">
                  <c:v>3.9027580532810537</c:v>
                </c:pt>
                <c:pt idx="71">
                  <c:v>4.9867957914417431</c:v>
                </c:pt>
                <c:pt idx="72">
                  <c:v>3.6168572919815283</c:v>
                </c:pt>
                <c:pt idx="73">
                  <c:v>4.5147998374924168</c:v>
                </c:pt>
                <c:pt idx="74">
                  <c:v>3.7686942161672912</c:v>
                </c:pt>
                <c:pt idx="75">
                  <c:v>3.990384441913108</c:v>
                </c:pt>
                <c:pt idx="76">
                  <c:v>4.5454167752702279</c:v>
                </c:pt>
                <c:pt idx="77">
                  <c:v>4.4439220684959508</c:v>
                </c:pt>
                <c:pt idx="78">
                  <c:v>4.3094730975303417</c:v>
                </c:pt>
                <c:pt idx="79">
                  <c:v>4.2005935436352084</c:v>
                </c:pt>
                <c:pt idx="80">
                  <c:v>5.3485714226683063</c:v>
                </c:pt>
                <c:pt idx="81">
                  <c:v>4.3880829025275814</c:v>
                </c:pt>
                <c:pt idx="82">
                  <c:v>5.0524252609846219</c:v>
                </c:pt>
                <c:pt idx="83">
                  <c:v>5.1179786430718854</c:v>
                </c:pt>
                <c:pt idx="84">
                  <c:v>4.5626201173407646</c:v>
                </c:pt>
                <c:pt idx="85">
                  <c:v>4.8883234770024755</c:v>
                </c:pt>
                <c:pt idx="86">
                  <c:v>5.3697175215938193</c:v>
                </c:pt>
                <c:pt idx="87">
                  <c:v>5.3123916361646888</c:v>
                </c:pt>
                <c:pt idx="88">
                  <c:v>3.4009162301964286</c:v>
                </c:pt>
                <c:pt idx="89">
                  <c:v>5.0828676992179487</c:v>
                </c:pt>
                <c:pt idx="90">
                  <c:v>4.252730888648534</c:v>
                </c:pt>
                <c:pt idx="91">
                  <c:v>4.4733440403984339</c:v>
                </c:pt>
                <c:pt idx="92">
                  <c:v>5.0593107147187135</c:v>
                </c:pt>
                <c:pt idx="93">
                  <c:v>4.7327925174891412</c:v>
                </c:pt>
                <c:pt idx="94">
                  <c:v>3.4456494940823106</c:v>
                </c:pt>
                <c:pt idx="95">
                  <c:v>4.5088085421271602</c:v>
                </c:pt>
                <c:pt idx="96">
                  <c:v>5.7764128960528041</c:v>
                </c:pt>
                <c:pt idx="97">
                  <c:v>4.634041596575412</c:v>
                </c:pt>
                <c:pt idx="98">
                  <c:v>4.0945523216426434</c:v>
                </c:pt>
                <c:pt idx="99">
                  <c:v>4.586296023076244</c:v>
                </c:pt>
                <c:pt idx="100">
                  <c:v>4.8150978713158903</c:v>
                </c:pt>
                <c:pt idx="101">
                  <c:v>3.8984235362391972</c:v>
                </c:pt>
                <c:pt idx="102">
                  <c:v>4.0880928340566589</c:v>
                </c:pt>
                <c:pt idx="103">
                  <c:v>4.2253189322247593</c:v>
                </c:pt>
                <c:pt idx="104">
                  <c:v>4.6298948194393548</c:v>
                </c:pt>
                <c:pt idx="105">
                  <c:v>5.1637871361718144</c:v>
                </c:pt>
                <c:pt idx="106">
                  <c:v>4.4962472255482151</c:v>
                </c:pt>
                <c:pt idx="107">
                  <c:v>4.7816129522769417</c:v>
                </c:pt>
                <c:pt idx="108">
                  <c:v>4.1912177716076755</c:v>
                </c:pt>
                <c:pt idx="109">
                  <c:v>4.6274191805407083</c:v>
                </c:pt>
                <c:pt idx="110">
                  <c:v>5.800579312967721</c:v>
                </c:pt>
                <c:pt idx="111">
                  <c:v>3.7163359347464731</c:v>
                </c:pt>
                <c:pt idx="112">
                  <c:v>3.437630205549965</c:v>
                </c:pt>
                <c:pt idx="113">
                  <c:v>5.240342688546562</c:v>
                </c:pt>
                <c:pt idx="114">
                  <c:v>3.8057747503942858</c:v>
                </c:pt>
                <c:pt idx="115">
                  <c:v>5.1735983925131785</c:v>
                </c:pt>
                <c:pt idx="116">
                  <c:v>4.3370766083990127</c:v>
                </c:pt>
                <c:pt idx="117">
                  <c:v>5.5895054360069665</c:v>
                </c:pt>
                <c:pt idx="118">
                  <c:v>4.1868318591518427</c:v>
                </c:pt>
                <c:pt idx="119">
                  <c:v>4.2479392347194285</c:v>
                </c:pt>
                <c:pt idx="120">
                  <c:v>4.4526687020661457</c:v>
                </c:pt>
                <c:pt idx="121">
                  <c:v>3.9010284786525919</c:v>
                </c:pt>
                <c:pt idx="122">
                  <c:v>3.3295746903391743</c:v>
                </c:pt>
                <c:pt idx="123">
                  <c:v>5.5440927827487485</c:v>
                </c:pt>
                <c:pt idx="124">
                  <c:v>3.6899331551116896</c:v>
                </c:pt>
                <c:pt idx="125">
                  <c:v>6.0594971508581983</c:v>
                </c:pt>
                <c:pt idx="126">
                  <c:v>4.5537918783214524</c:v>
                </c:pt>
                <c:pt idx="127">
                  <c:v>4.2393159929041797</c:v>
                </c:pt>
                <c:pt idx="128">
                  <c:v>5.0735053999890223</c:v>
                </c:pt>
                <c:pt idx="129">
                  <c:v>5.6063325578245831</c:v>
                </c:pt>
                <c:pt idx="130">
                  <c:v>5.2895326466196675</c:v>
                </c:pt>
                <c:pt idx="131">
                  <c:v>5.0876205646688248</c:v>
                </c:pt>
                <c:pt idx="132">
                  <c:v>5.3166123405709511</c:v>
                </c:pt>
                <c:pt idx="133">
                  <c:v>3.6766723626060274</c:v>
                </c:pt>
                <c:pt idx="134">
                  <c:v>4.6979450262564662</c:v>
                </c:pt>
                <c:pt idx="135">
                  <c:v>4.0611461935166373</c:v>
                </c:pt>
                <c:pt idx="136">
                  <c:v>4.3894205056637912</c:v>
                </c:pt>
                <c:pt idx="137">
                  <c:v>4.925812619831647</c:v>
                </c:pt>
                <c:pt idx="138">
                  <c:v>5.0129317358355667</c:v>
                </c:pt>
                <c:pt idx="139">
                  <c:v>4.986131224378255</c:v>
                </c:pt>
                <c:pt idx="140">
                  <c:v>5.3650130978157922</c:v>
                </c:pt>
                <c:pt idx="141">
                  <c:v>5.5132434300444224</c:v>
                </c:pt>
                <c:pt idx="142">
                  <c:v>4.4858897127587767</c:v>
                </c:pt>
                <c:pt idx="143">
                  <c:v>5.0798836056634107</c:v>
                </c:pt>
                <c:pt idx="144">
                  <c:v>4.2766478732216973</c:v>
                </c:pt>
                <c:pt idx="145">
                  <c:v>3.3866661939402887</c:v>
                </c:pt>
                <c:pt idx="146">
                  <c:v>3.8647168765169964</c:v>
                </c:pt>
                <c:pt idx="147">
                  <c:v>3.2368964114147332</c:v>
                </c:pt>
                <c:pt idx="148">
                  <c:v>5.2861945933741614</c:v>
                </c:pt>
                <c:pt idx="149">
                  <c:v>4.445240232283922</c:v>
                </c:pt>
                <c:pt idx="150">
                  <c:v>3.4177909180688792</c:v>
                </c:pt>
                <c:pt idx="151">
                  <c:v>3.8328358406225833</c:v>
                </c:pt>
                <c:pt idx="152">
                  <c:v>4.0722963122890841</c:v>
                </c:pt>
                <c:pt idx="153">
                  <c:v>4.7334828430222551</c:v>
                </c:pt>
                <c:pt idx="154">
                  <c:v>4.1231395286815591</c:v>
                </c:pt>
                <c:pt idx="155">
                  <c:v>4.6965433484635257</c:v>
                </c:pt>
                <c:pt idx="156">
                  <c:v>4.917445995310862</c:v>
                </c:pt>
                <c:pt idx="157">
                  <c:v>4.9411646674701801</c:v>
                </c:pt>
                <c:pt idx="158">
                  <c:v>4.0468590619259359</c:v>
                </c:pt>
                <c:pt idx="159">
                  <c:v>5.4914198374161707</c:v>
                </c:pt>
                <c:pt idx="160">
                  <c:v>4.6394240713937984</c:v>
                </c:pt>
                <c:pt idx="161">
                  <c:v>5.6069432705858704</c:v>
                </c:pt>
                <c:pt idx="162">
                  <c:v>3.4912246673146914</c:v>
                </c:pt>
                <c:pt idx="163">
                  <c:v>4.3301311725648004</c:v>
                </c:pt>
                <c:pt idx="164">
                  <c:v>4.4602044703721324</c:v>
                </c:pt>
                <c:pt idx="165">
                  <c:v>5.8561473351000979</c:v>
                </c:pt>
                <c:pt idx="166">
                  <c:v>4.3285406514836691</c:v>
                </c:pt>
                <c:pt idx="167">
                  <c:v>4.7919417271504905</c:v>
                </c:pt>
                <c:pt idx="168">
                  <c:v>4.9974859183679046</c:v>
                </c:pt>
                <c:pt idx="169">
                  <c:v>4.2775612048482206</c:v>
                </c:pt>
                <c:pt idx="170">
                  <c:v>3.6092707413672853</c:v>
                </c:pt>
                <c:pt idx="171">
                  <c:v>5.3823150266314173</c:v>
                </c:pt>
                <c:pt idx="172">
                  <c:v>4.1861390912266963</c:v>
                </c:pt>
                <c:pt idx="173">
                  <c:v>3.5923312877511044</c:v>
                </c:pt>
                <c:pt idx="174">
                  <c:v>5.2918416482637465</c:v>
                </c:pt>
                <c:pt idx="175">
                  <c:v>5.7823081974832284</c:v>
                </c:pt>
                <c:pt idx="176">
                  <c:v>4.3715514316165427</c:v>
                </c:pt>
                <c:pt idx="177">
                  <c:v>3.9467946174997341</c:v>
                </c:pt>
                <c:pt idx="178">
                  <c:v>3.8757619546094579</c:v>
                </c:pt>
                <c:pt idx="179">
                  <c:v>4.3981253217123832</c:v>
                </c:pt>
                <c:pt idx="180">
                  <c:v>4.2814192256005388</c:v>
                </c:pt>
                <c:pt idx="181">
                  <c:v>4.9571085322632271</c:v>
                </c:pt>
                <c:pt idx="182">
                  <c:v>4.6134635701139519</c:v>
                </c:pt>
                <c:pt idx="183">
                  <c:v>3.5834800311582113</c:v>
                </c:pt>
                <c:pt idx="184">
                  <c:v>5.7670896097907409</c:v>
                </c:pt>
                <c:pt idx="185">
                  <c:v>4.8892297598864136</c:v>
                </c:pt>
                <c:pt idx="186">
                  <c:v>4.3658133044588414</c:v>
                </c:pt>
                <c:pt idx="187">
                  <c:v>4.9105650369306391</c:v>
                </c:pt>
                <c:pt idx="188">
                  <c:v>4.3969331866079076</c:v>
                </c:pt>
                <c:pt idx="189">
                  <c:v>4.736749261464599</c:v>
                </c:pt>
                <c:pt idx="190">
                  <c:v>4.0023997040260175</c:v>
                </c:pt>
                <c:pt idx="191">
                  <c:v>4.0934953296219758</c:v>
                </c:pt>
                <c:pt idx="192">
                  <c:v>4.7956962043907785</c:v>
                </c:pt>
                <c:pt idx="193">
                  <c:v>4.8227410199523781</c:v>
                </c:pt>
                <c:pt idx="194">
                  <c:v>3.8924829493720425</c:v>
                </c:pt>
                <c:pt idx="195">
                  <c:v>5.0846585691356729</c:v>
                </c:pt>
                <c:pt idx="196">
                  <c:v>5.2028403417924611</c:v>
                </c:pt>
                <c:pt idx="197">
                  <c:v>3.8488672863805231</c:v>
                </c:pt>
                <c:pt idx="198">
                  <c:v>4.8053858377935512</c:v>
                </c:pt>
                <c:pt idx="199">
                  <c:v>4.0718029884203197</c:v>
                </c:pt>
                <c:pt idx="200">
                  <c:v>3.9205445674397534</c:v>
                </c:pt>
                <c:pt idx="201">
                  <c:v>5.3734371728187069</c:v>
                </c:pt>
                <c:pt idx="202">
                  <c:v>4.0387159578301572</c:v>
                </c:pt>
                <c:pt idx="203">
                  <c:v>3.3091879056993259</c:v>
                </c:pt>
                <c:pt idx="204">
                  <c:v>3.6693781205525107</c:v>
                </c:pt>
                <c:pt idx="205">
                  <c:v>4.2602430415333217</c:v>
                </c:pt>
                <c:pt idx="206">
                  <c:v>4.8010011740779932</c:v>
                </c:pt>
                <c:pt idx="207">
                  <c:v>4.658469288538635</c:v>
                </c:pt>
                <c:pt idx="208">
                  <c:v>4.7910029142966204</c:v>
                </c:pt>
                <c:pt idx="209">
                  <c:v>3.5707379504760057</c:v>
                </c:pt>
                <c:pt idx="210">
                  <c:v>5.6451514357335526</c:v>
                </c:pt>
                <c:pt idx="211">
                  <c:v>5.4093813662335393</c:v>
                </c:pt>
                <c:pt idx="212">
                  <c:v>4.5263230985458005</c:v>
                </c:pt>
                <c:pt idx="213">
                  <c:v>5.3366361486839615</c:v>
                </c:pt>
                <c:pt idx="214">
                  <c:v>3.5639155199802941</c:v>
                </c:pt>
                <c:pt idx="215">
                  <c:v>3.4831851401583966</c:v>
                </c:pt>
                <c:pt idx="216">
                  <c:v>4.3555357791391511</c:v>
                </c:pt>
                <c:pt idx="217">
                  <c:v>4.2715559035043942</c:v>
                </c:pt>
                <c:pt idx="218">
                  <c:v>5.3557895480617637</c:v>
                </c:pt>
                <c:pt idx="219">
                  <c:v>4.4445171440540836</c:v>
                </c:pt>
                <c:pt idx="220">
                  <c:v>3.8391761590686446</c:v>
                </c:pt>
                <c:pt idx="221">
                  <c:v>4.1510133028871721</c:v>
                </c:pt>
                <c:pt idx="222">
                  <c:v>4.9711731134212975</c:v>
                </c:pt>
                <c:pt idx="223">
                  <c:v>4.5217436057478384</c:v>
                </c:pt>
                <c:pt idx="224">
                  <c:v>4.6715323875117711</c:v>
                </c:pt>
                <c:pt idx="225">
                  <c:v>5.3534946357896418</c:v>
                </c:pt>
                <c:pt idx="226">
                  <c:v>5.6520770682510575</c:v>
                </c:pt>
                <c:pt idx="227">
                  <c:v>4.0936354402523509</c:v>
                </c:pt>
                <c:pt idx="228">
                  <c:v>4.2136187673007841</c:v>
                </c:pt>
                <c:pt idx="229">
                  <c:v>4.5192784608427861</c:v>
                </c:pt>
                <c:pt idx="230">
                  <c:v>4.4541863849822425</c:v>
                </c:pt>
                <c:pt idx="231">
                  <c:v>4.6587134466208964</c:v>
                </c:pt>
                <c:pt idx="232">
                  <c:v>4.2024014166183736</c:v>
                </c:pt>
                <c:pt idx="233">
                  <c:v>4.2613454833174211</c:v>
                </c:pt>
                <c:pt idx="234">
                  <c:v>4.9852449119664737</c:v>
                </c:pt>
                <c:pt idx="235">
                  <c:v>4.9123037032240378</c:v>
                </c:pt>
                <c:pt idx="236">
                  <c:v>4.8639383313455209</c:v>
                </c:pt>
                <c:pt idx="237">
                  <c:v>5.3666218404496657</c:v>
                </c:pt>
                <c:pt idx="238">
                  <c:v>5.2909895144421855</c:v>
                </c:pt>
                <c:pt idx="239">
                  <c:v>5.0298631572716221</c:v>
                </c:pt>
                <c:pt idx="240">
                  <c:v>4.4005168215959989</c:v>
                </c:pt>
                <c:pt idx="241">
                  <c:v>5.0232856732412561</c:v>
                </c:pt>
                <c:pt idx="242">
                  <c:v>5.5335916749309355</c:v>
                </c:pt>
                <c:pt idx="243">
                  <c:v>5.1949497836792986</c:v>
                </c:pt>
                <c:pt idx="244">
                  <c:v>3.8564061515345323</c:v>
                </c:pt>
                <c:pt idx="245">
                  <c:v>3.8705814325126591</c:v>
                </c:pt>
                <c:pt idx="246">
                  <c:v>4.4380690895776276</c:v>
                </c:pt>
                <c:pt idx="247">
                  <c:v>3.9091816936524895</c:v>
                </c:pt>
                <c:pt idx="248">
                  <c:v>4.77367384310101</c:v>
                </c:pt>
                <c:pt idx="249">
                  <c:v>3.4852621070030878</c:v>
                </c:pt>
                <c:pt idx="250">
                  <c:v>4.4274943582149948</c:v>
                </c:pt>
                <c:pt idx="251">
                  <c:v>3.8846614055761819</c:v>
                </c:pt>
                <c:pt idx="252">
                  <c:v>4.354516566636379</c:v>
                </c:pt>
                <c:pt idx="253">
                  <c:v>4.1472293964322358</c:v>
                </c:pt>
                <c:pt idx="254">
                  <c:v>4.4014148230433952</c:v>
                </c:pt>
                <c:pt idx="255">
                  <c:v>5.1428229802768826</c:v>
                </c:pt>
                <c:pt idx="256">
                  <c:v>4.2538900559852362</c:v>
                </c:pt>
                <c:pt idx="257">
                  <c:v>5.8850379283652483</c:v>
                </c:pt>
                <c:pt idx="258">
                  <c:v>3.344612209106014</c:v>
                </c:pt>
                <c:pt idx="259">
                  <c:v>4.5991750464084991</c:v>
                </c:pt>
                <c:pt idx="260">
                  <c:v>5.483342922407763</c:v>
                </c:pt>
                <c:pt idx="261">
                  <c:v>5.426355318131403</c:v>
                </c:pt>
                <c:pt idx="262">
                  <c:v>4.6736319978142422</c:v>
                </c:pt>
                <c:pt idx="263">
                  <c:v>5.5090852347964967</c:v>
                </c:pt>
                <c:pt idx="264">
                  <c:v>5.5378470820095504</c:v>
                </c:pt>
                <c:pt idx="265">
                  <c:v>4.900763782911028</c:v>
                </c:pt>
                <c:pt idx="266">
                  <c:v>3.4519917392052779</c:v>
                </c:pt>
                <c:pt idx="267">
                  <c:v>5.1421496029858247</c:v>
                </c:pt>
                <c:pt idx="268">
                  <c:v>4.6177157304658039</c:v>
                </c:pt>
                <c:pt idx="269">
                  <c:v>3.9033133318967015</c:v>
                </c:pt>
                <c:pt idx="270">
                  <c:v>3.3252747405714045</c:v>
                </c:pt>
                <c:pt idx="271">
                  <c:v>4.7424451346467</c:v>
                </c:pt>
                <c:pt idx="272">
                  <c:v>5.1171041566546398</c:v>
                </c:pt>
                <c:pt idx="273">
                  <c:v>5.753361214559721</c:v>
                </c:pt>
                <c:pt idx="274">
                  <c:v>4.7122527869128508</c:v>
                </c:pt>
                <c:pt idx="275">
                  <c:v>5.6667355089925833</c:v>
                </c:pt>
                <c:pt idx="276">
                  <c:v>5.2782750345306955</c:v>
                </c:pt>
                <c:pt idx="277">
                  <c:v>4.9352183772446692</c:v>
                </c:pt>
                <c:pt idx="278">
                  <c:v>3.8086617171626349</c:v>
                </c:pt>
                <c:pt idx="279">
                  <c:v>5.7831193584818514</c:v>
                </c:pt>
                <c:pt idx="280">
                  <c:v>5.1622514336490806</c:v>
                </c:pt>
                <c:pt idx="281">
                  <c:v>4.0981129823062838</c:v>
                </c:pt>
                <c:pt idx="282">
                  <c:v>3.6670356689005588</c:v>
                </c:pt>
                <c:pt idx="283">
                  <c:v>4.3262067727092237</c:v>
                </c:pt>
                <c:pt idx="284">
                  <c:v>4.3350421225496589</c:v>
                </c:pt>
                <c:pt idx="285">
                  <c:v>5.0450890899877097</c:v>
                </c:pt>
                <c:pt idx="286">
                  <c:v>3.7255849342525695</c:v>
                </c:pt>
                <c:pt idx="287">
                  <c:v>5.2748224987812415</c:v>
                </c:pt>
                <c:pt idx="288">
                  <c:v>5.1309500816153584</c:v>
                </c:pt>
                <c:pt idx="289">
                  <c:v>5.289213826512464</c:v>
                </c:pt>
                <c:pt idx="290">
                  <c:v>4.5815316404343029</c:v>
                </c:pt>
                <c:pt idx="291">
                  <c:v>5.5134556427194052</c:v>
                </c:pt>
                <c:pt idx="292">
                  <c:v>4.9752812075620554</c:v>
                </c:pt>
                <c:pt idx="293">
                  <c:v>4.2662992679005249</c:v>
                </c:pt>
                <c:pt idx="294">
                  <c:v>4.4994864210816239</c:v>
                </c:pt>
                <c:pt idx="295">
                  <c:v>4.2072525178506694</c:v>
                </c:pt>
                <c:pt idx="296">
                  <c:v>5.5882075518717969</c:v>
                </c:pt>
                <c:pt idx="297">
                  <c:v>4.3932872464453636</c:v>
                </c:pt>
                <c:pt idx="298">
                  <c:v>4.6457141175678522</c:v>
                </c:pt>
                <c:pt idx="299">
                  <c:v>4.5313596983712534</c:v>
                </c:pt>
                <c:pt idx="300">
                  <c:v>4.217254089053398</c:v>
                </c:pt>
                <c:pt idx="301">
                  <c:v>4.3505962248212295</c:v>
                </c:pt>
                <c:pt idx="302">
                  <c:v>4.3467569782659501</c:v>
                </c:pt>
                <c:pt idx="303">
                  <c:v>4.2881907948728131</c:v>
                </c:pt>
                <c:pt idx="304">
                  <c:v>4.2626425192059374</c:v>
                </c:pt>
                <c:pt idx="305">
                  <c:v>5.9284075518814534</c:v>
                </c:pt>
                <c:pt idx="306">
                  <c:v>4.537734878441344</c:v>
                </c:pt>
                <c:pt idx="307">
                  <c:v>3.8407139244260318</c:v>
                </c:pt>
                <c:pt idx="308">
                  <c:v>4.5493808646492457</c:v>
                </c:pt>
                <c:pt idx="309">
                  <c:v>4.4806089465962327</c:v>
                </c:pt>
                <c:pt idx="310">
                  <c:v>4.4571392687930107</c:v>
                </c:pt>
                <c:pt idx="311">
                  <c:v>4.1348664653215632</c:v>
                </c:pt>
                <c:pt idx="312">
                  <c:v>4.2157871822810513</c:v>
                </c:pt>
                <c:pt idx="313">
                  <c:v>3.7743886752884057</c:v>
                </c:pt>
                <c:pt idx="314">
                  <c:v>4.143893548119971</c:v>
                </c:pt>
                <c:pt idx="315">
                  <c:v>5.3498652686778581</c:v>
                </c:pt>
                <c:pt idx="316">
                  <c:v>5.0725682530276535</c:v>
                </c:pt>
                <c:pt idx="317">
                  <c:v>6.2886767223608118</c:v>
                </c:pt>
                <c:pt idx="318">
                  <c:v>4.636301972427102</c:v>
                </c:pt>
                <c:pt idx="319">
                  <c:v>4.5182697556369824</c:v>
                </c:pt>
                <c:pt idx="320">
                  <c:v>4.8722971842686675</c:v>
                </c:pt>
                <c:pt idx="321">
                  <c:v>4.2459952080084653</c:v>
                </c:pt>
                <c:pt idx="322">
                  <c:v>4.7073328084569468</c:v>
                </c:pt>
                <c:pt idx="323">
                  <c:v>4.4699973140761573</c:v>
                </c:pt>
                <c:pt idx="324">
                  <c:v>5.3498803514670303</c:v>
                </c:pt>
                <c:pt idx="325">
                  <c:v>5.6313322759265176</c:v>
                </c:pt>
                <c:pt idx="326">
                  <c:v>5.0004600318690535</c:v>
                </c:pt>
                <c:pt idx="327">
                  <c:v>3.8262623971586542</c:v>
                </c:pt>
                <c:pt idx="328">
                  <c:v>4.4690192770304131</c:v>
                </c:pt>
                <c:pt idx="329">
                  <c:v>4.2483341246942787</c:v>
                </c:pt>
                <c:pt idx="330">
                  <c:v>4.6157834227178327</c:v>
                </c:pt>
                <c:pt idx="331">
                  <c:v>4.7288645870341526</c:v>
                </c:pt>
                <c:pt idx="332">
                  <c:v>3.686029020602795</c:v>
                </c:pt>
                <c:pt idx="333">
                  <c:v>5.5340108003380575</c:v>
                </c:pt>
                <c:pt idx="334">
                  <c:v>3.8874610777118805</c:v>
                </c:pt>
                <c:pt idx="335">
                  <c:v>4.910425301913266</c:v>
                </c:pt>
                <c:pt idx="336">
                  <c:v>4.7232427547784006</c:v>
                </c:pt>
                <c:pt idx="337">
                  <c:v>5.0152887420745342</c:v>
                </c:pt>
                <c:pt idx="338">
                  <c:v>4.4482464348415736</c:v>
                </c:pt>
                <c:pt idx="339">
                  <c:v>3.7142941925450197</c:v>
                </c:pt>
                <c:pt idx="340">
                  <c:v>4.6815034110983076</c:v>
                </c:pt>
                <c:pt idx="341">
                  <c:v>4.1851870978395551</c:v>
                </c:pt>
                <c:pt idx="342">
                  <c:v>3.8783435566864419</c:v>
                </c:pt>
                <c:pt idx="343">
                  <c:v>4.0247264380746639</c:v>
                </c:pt>
                <c:pt idx="344">
                  <c:v>5.7639435114461914</c:v>
                </c:pt>
                <c:pt idx="345">
                  <c:v>4.0762430698761483</c:v>
                </c:pt>
                <c:pt idx="346">
                  <c:v>4.8774393437709982</c:v>
                </c:pt>
                <c:pt idx="347">
                  <c:v>4.3579067275433756</c:v>
                </c:pt>
                <c:pt idx="348">
                  <c:v>5.0767980539038042</c:v>
                </c:pt>
                <c:pt idx="349">
                  <c:v>4.3269226913644872</c:v>
                </c:pt>
                <c:pt idx="350">
                  <c:v>4.5895614242450034</c:v>
                </c:pt>
                <c:pt idx="351">
                  <c:v>4.5530606649785197</c:v>
                </c:pt>
                <c:pt idx="352">
                  <c:v>5.0055072660372026</c:v>
                </c:pt>
                <c:pt idx="353">
                  <c:v>5.0922350901134656</c:v>
                </c:pt>
                <c:pt idx="354">
                  <c:v>4.9734162304062366</c:v>
                </c:pt>
                <c:pt idx="355">
                  <c:v>4.877000459701164</c:v>
                </c:pt>
                <c:pt idx="356">
                  <c:v>3.5466725846734386</c:v>
                </c:pt>
                <c:pt idx="357">
                  <c:v>3.2785068151213625</c:v>
                </c:pt>
                <c:pt idx="358">
                  <c:v>5.1436848029974893</c:v>
                </c:pt>
                <c:pt idx="359">
                  <c:v>3.8992089383832855</c:v>
                </c:pt>
                <c:pt idx="360">
                  <c:v>5.3646775192128979</c:v>
                </c:pt>
                <c:pt idx="361">
                  <c:v>4.8056052688333741</c:v>
                </c:pt>
                <c:pt idx="362">
                  <c:v>4.4358541409249952</c:v>
                </c:pt>
                <c:pt idx="363">
                  <c:v>4.448880249959692</c:v>
                </c:pt>
                <c:pt idx="364">
                  <c:v>3.7366837521359777</c:v>
                </c:pt>
                <c:pt idx="365">
                  <c:v>4.5993608588275769</c:v>
                </c:pt>
                <c:pt idx="366">
                  <c:v>4.9551916141223433</c:v>
                </c:pt>
                <c:pt idx="367">
                  <c:v>5.0096512493467413</c:v>
                </c:pt>
                <c:pt idx="368">
                  <c:v>5.4916274376589884</c:v>
                </c:pt>
                <c:pt idx="369">
                  <c:v>4.9857854287602308</c:v>
                </c:pt>
                <c:pt idx="370">
                  <c:v>3.6552204293103081</c:v>
                </c:pt>
                <c:pt idx="371">
                  <c:v>4.7040124424794989</c:v>
                </c:pt>
                <c:pt idx="372">
                  <c:v>4.0239058665923446</c:v>
                </c:pt>
                <c:pt idx="373">
                  <c:v>3.7542222721265341</c:v>
                </c:pt>
                <c:pt idx="374">
                  <c:v>4.5757829473445915</c:v>
                </c:pt>
                <c:pt idx="375">
                  <c:v>5.0122093228239883</c:v>
                </c:pt>
                <c:pt idx="376">
                  <c:v>5.2398847839671543</c:v>
                </c:pt>
                <c:pt idx="377">
                  <c:v>5.8083459259522598</c:v>
                </c:pt>
                <c:pt idx="378">
                  <c:v>4.4109070277287126</c:v>
                </c:pt>
                <c:pt idx="379">
                  <c:v>4.6117387540525261</c:v>
                </c:pt>
                <c:pt idx="380">
                  <c:v>4.1005191826194194</c:v>
                </c:pt>
                <c:pt idx="381">
                  <c:v>4.3982897987781397</c:v>
                </c:pt>
                <c:pt idx="382">
                  <c:v>5.3171694777318574</c:v>
                </c:pt>
                <c:pt idx="383">
                  <c:v>5.7530282509842792</c:v>
                </c:pt>
                <c:pt idx="384">
                  <c:v>5.190809168889718</c:v>
                </c:pt>
                <c:pt idx="385">
                  <c:v>4.5896906744764898</c:v>
                </c:pt>
                <c:pt idx="386">
                  <c:v>5.4665985616244974</c:v>
                </c:pt>
                <c:pt idx="387">
                  <c:v>4.0984223516554508</c:v>
                </c:pt>
                <c:pt idx="388">
                  <c:v>4.9691571883624217</c:v>
                </c:pt>
                <c:pt idx="389">
                  <c:v>4.2127151475696705</c:v>
                </c:pt>
                <c:pt idx="390">
                  <c:v>3.6967178770096978</c:v>
                </c:pt>
                <c:pt idx="391">
                  <c:v>4.5304575497711337</c:v>
                </c:pt>
                <c:pt idx="392">
                  <c:v>4.213277311778028</c:v>
                </c:pt>
                <c:pt idx="393">
                  <c:v>5.125242659598757</c:v>
                </c:pt>
                <c:pt idx="394">
                  <c:v>4.2424065665923338</c:v>
                </c:pt>
                <c:pt idx="395">
                  <c:v>5.2891205962060619</c:v>
                </c:pt>
                <c:pt idx="396">
                  <c:v>5.2205204464638886</c:v>
                </c:pt>
                <c:pt idx="397">
                  <c:v>5.0191715965592332</c:v>
                </c:pt>
                <c:pt idx="398">
                  <c:v>3.8939960683234238</c:v>
                </c:pt>
                <c:pt idx="399">
                  <c:v>3.3851393395728797</c:v>
                </c:pt>
                <c:pt idx="400">
                  <c:v>5.0812750545167109</c:v>
                </c:pt>
                <c:pt idx="401">
                  <c:v>3.6507364888419471</c:v>
                </c:pt>
                <c:pt idx="402">
                  <c:v>5.4565104248712109</c:v>
                </c:pt>
                <c:pt idx="403">
                  <c:v>5.5295333630756307</c:v>
                </c:pt>
                <c:pt idx="404">
                  <c:v>3.9575181844820406</c:v>
                </c:pt>
                <c:pt idx="405">
                  <c:v>4.7129181331202465</c:v>
                </c:pt>
                <c:pt idx="406">
                  <c:v>5.4423589974900679</c:v>
                </c:pt>
                <c:pt idx="407">
                  <c:v>5.2321618089135651</c:v>
                </c:pt>
                <c:pt idx="408">
                  <c:v>4.4406063937787401</c:v>
                </c:pt>
                <c:pt idx="409">
                  <c:v>5.4606479302586113</c:v>
                </c:pt>
                <c:pt idx="410">
                  <c:v>5.0049663547916721</c:v>
                </c:pt>
                <c:pt idx="411">
                  <c:v>5.6700611388094959</c:v>
                </c:pt>
                <c:pt idx="412">
                  <c:v>4.9769561958097501</c:v>
                </c:pt>
                <c:pt idx="413">
                  <c:v>5.2072667401672366</c:v>
                </c:pt>
                <c:pt idx="414">
                  <c:v>4.0187280406889654</c:v>
                </c:pt>
                <c:pt idx="415">
                  <c:v>5.0567308636121266</c:v>
                </c:pt>
                <c:pt idx="416">
                  <c:v>5.5523318497818401</c:v>
                </c:pt>
                <c:pt idx="417">
                  <c:v>3.7830268260698587</c:v>
                </c:pt>
                <c:pt idx="418">
                  <c:v>5.1140309218871369</c:v>
                </c:pt>
                <c:pt idx="419">
                  <c:v>4.6162018343381606</c:v>
                </c:pt>
                <c:pt idx="420">
                  <c:v>5.1245495350609627</c:v>
                </c:pt>
                <c:pt idx="421">
                  <c:v>4.7270556687140441</c:v>
                </c:pt>
                <c:pt idx="422">
                  <c:v>4.2395517158779583</c:v>
                </c:pt>
                <c:pt idx="423">
                  <c:v>5.392238611586798</c:v>
                </c:pt>
                <c:pt idx="424">
                  <c:v>2.9225727806111141</c:v>
                </c:pt>
                <c:pt idx="425">
                  <c:v>4.6696326438565459</c:v>
                </c:pt>
                <c:pt idx="426">
                  <c:v>3.2500707458582756</c:v>
                </c:pt>
                <c:pt idx="427">
                  <c:v>4.0692530409693841</c:v>
                </c:pt>
                <c:pt idx="428">
                  <c:v>5.506468512019473</c:v>
                </c:pt>
                <c:pt idx="429">
                  <c:v>4.5757653168402754</c:v>
                </c:pt>
                <c:pt idx="430">
                  <c:v>5.280135517770761</c:v>
                </c:pt>
                <c:pt idx="431">
                  <c:v>5.7140485242584216</c:v>
                </c:pt>
                <c:pt idx="432">
                  <c:v>5.863270832560441</c:v>
                </c:pt>
                <c:pt idx="433">
                  <c:v>5.279928901279404</c:v>
                </c:pt>
                <c:pt idx="434">
                  <c:v>4.6773943514448408</c:v>
                </c:pt>
                <c:pt idx="435">
                  <c:v>3.484639304569666</c:v>
                </c:pt>
                <c:pt idx="436">
                  <c:v>4.6754024267542116</c:v>
                </c:pt>
                <c:pt idx="437">
                  <c:v>4.1443267503634029</c:v>
                </c:pt>
                <c:pt idx="438">
                  <c:v>5.1404321514444193</c:v>
                </c:pt>
                <c:pt idx="439">
                  <c:v>5.0835467616427961</c:v>
                </c:pt>
                <c:pt idx="440">
                  <c:v>5.0914555028008905</c:v>
                </c:pt>
                <c:pt idx="441">
                  <c:v>4.9145706346860889</c:v>
                </c:pt>
                <c:pt idx="442">
                  <c:v>3.6589460231852993</c:v>
                </c:pt>
                <c:pt idx="443">
                  <c:v>5.0228413460719015</c:v>
                </c:pt>
                <c:pt idx="444">
                  <c:v>5.4529447173706345</c:v>
                </c:pt>
                <c:pt idx="445">
                  <c:v>5.1885021467663623</c:v>
                </c:pt>
                <c:pt idx="446">
                  <c:v>4.1454357363908141</c:v>
                </c:pt>
                <c:pt idx="447">
                  <c:v>3.9086244248581057</c:v>
                </c:pt>
                <c:pt idx="448">
                  <c:v>5.3416975182032385</c:v>
                </c:pt>
                <c:pt idx="449">
                  <c:v>3.7580595577452769</c:v>
                </c:pt>
                <c:pt idx="450">
                  <c:v>5.3799530439974204</c:v>
                </c:pt>
                <c:pt idx="451">
                  <c:v>4.6397467211242933</c:v>
                </c:pt>
                <c:pt idx="452">
                  <c:v>3.5505102300062408</c:v>
                </c:pt>
                <c:pt idx="453">
                  <c:v>5.6727325669584516</c:v>
                </c:pt>
                <c:pt idx="454">
                  <c:v>4.5990631367035846</c:v>
                </c:pt>
                <c:pt idx="455">
                  <c:v>3.8973465810245429</c:v>
                </c:pt>
                <c:pt idx="456">
                  <c:v>5.2466221903084289</c:v>
                </c:pt>
                <c:pt idx="457">
                  <c:v>4.9060371605545612</c:v>
                </c:pt>
                <c:pt idx="458">
                  <c:v>5.6813162869003104</c:v>
                </c:pt>
                <c:pt idx="459">
                  <c:v>3.8936081898039747</c:v>
                </c:pt>
                <c:pt idx="460">
                  <c:v>4.5722042835807866</c:v>
                </c:pt>
                <c:pt idx="461">
                  <c:v>4.4859350507592479</c:v>
                </c:pt>
                <c:pt idx="462">
                  <c:v>4.7257543866745824</c:v>
                </c:pt>
                <c:pt idx="463">
                  <c:v>4.3565072182573035</c:v>
                </c:pt>
                <c:pt idx="464">
                  <c:v>4.0897897016954561</c:v>
                </c:pt>
                <c:pt idx="465">
                  <c:v>4.7833677599010507</c:v>
                </c:pt>
                <c:pt idx="466">
                  <c:v>4.6127785408615569</c:v>
                </c:pt>
                <c:pt idx="467">
                  <c:v>3.7877283500753198</c:v>
                </c:pt>
                <c:pt idx="468">
                  <c:v>5.5157781503749517</c:v>
                </c:pt>
                <c:pt idx="469">
                  <c:v>5.699654659331439</c:v>
                </c:pt>
                <c:pt idx="470">
                  <c:v>4.6080956000538036</c:v>
                </c:pt>
                <c:pt idx="471">
                  <c:v>5.901196546280314</c:v>
                </c:pt>
                <c:pt idx="472">
                  <c:v>5.0588799642623137</c:v>
                </c:pt>
                <c:pt idx="473">
                  <c:v>4.1766495025088037</c:v>
                </c:pt>
                <c:pt idx="474">
                  <c:v>5.0362097197483049</c:v>
                </c:pt>
                <c:pt idx="475">
                  <c:v>5.6314968107119672</c:v>
                </c:pt>
                <c:pt idx="476">
                  <c:v>4.0452685840992899</c:v>
                </c:pt>
                <c:pt idx="477">
                  <c:v>4.8567099945810979</c:v>
                </c:pt>
                <c:pt idx="478">
                  <c:v>5.4006117154633984</c:v>
                </c:pt>
                <c:pt idx="479">
                  <c:v>4.3621554736279293</c:v>
                </c:pt>
                <c:pt idx="480">
                  <c:v>4.8226717005847206</c:v>
                </c:pt>
                <c:pt idx="481">
                  <c:v>5.0283159956434877</c:v>
                </c:pt>
                <c:pt idx="482">
                  <c:v>4.8510521669509696</c:v>
                </c:pt>
                <c:pt idx="483">
                  <c:v>4.0204332635246871</c:v>
                </c:pt>
                <c:pt idx="484">
                  <c:v>4.7429860853930013</c:v>
                </c:pt>
                <c:pt idx="485">
                  <c:v>4.0847509149643759</c:v>
                </c:pt>
                <c:pt idx="486">
                  <c:v>5.050491715197472</c:v>
                </c:pt>
                <c:pt idx="487">
                  <c:v>3.9014192232399307</c:v>
                </c:pt>
                <c:pt idx="488">
                  <c:v>3.7498256596935065</c:v>
                </c:pt>
                <c:pt idx="489">
                  <c:v>3.938101633633055</c:v>
                </c:pt>
                <c:pt idx="490">
                  <c:v>4.9592539205400961</c:v>
                </c:pt>
                <c:pt idx="491">
                  <c:v>4.0337143459857243</c:v>
                </c:pt>
                <c:pt idx="492">
                  <c:v>5.1849386294749316</c:v>
                </c:pt>
                <c:pt idx="493">
                  <c:v>3.9799437311209429</c:v>
                </c:pt>
                <c:pt idx="494">
                  <c:v>4.8881900009151051</c:v>
                </c:pt>
                <c:pt idx="495">
                  <c:v>4.0463461616887564</c:v>
                </c:pt>
                <c:pt idx="496">
                  <c:v>4.3341557965316921</c:v>
                </c:pt>
                <c:pt idx="497">
                  <c:v>4.8127703494082237</c:v>
                </c:pt>
                <c:pt idx="498">
                  <c:v>5.7398283216251444</c:v>
                </c:pt>
                <c:pt idx="499">
                  <c:v>4.7882538219460731</c:v>
                </c:pt>
              </c:numCache>
            </c:numRef>
          </c:yVal>
          <c:smooth val="0"/>
          <c:extLst>
            <c:ext xmlns:c16="http://schemas.microsoft.com/office/drawing/2014/chart" uri="{C3380CC4-5D6E-409C-BE32-E72D297353CC}">
              <c16:uniqueId val="{00000002-91E5-484C-A90E-0F1BF48F8224}"/>
            </c:ext>
          </c:extLst>
        </c:ser>
        <c:dLbls>
          <c:showLegendKey val="0"/>
          <c:showVal val="0"/>
          <c:showCatName val="0"/>
          <c:showSerName val="0"/>
          <c:showPercent val="0"/>
          <c:showBubbleSize val="0"/>
        </c:dLbls>
        <c:axId val="1564451840"/>
        <c:axId val="1657523856"/>
      </c:scatterChart>
      <c:valAx>
        <c:axId val="1564451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DTI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23856"/>
        <c:crosses val="autoZero"/>
        <c:crossBetween val="midCat"/>
      </c:valAx>
      <c:valAx>
        <c:axId val="165752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Interest rate %</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4518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Interest Rate and First time buyer or not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Data!$AC$17</c:f>
              <c:strCache>
                <c:ptCount val="1"/>
                <c:pt idx="0">
                  <c:v>Avg Interest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Data!$AB$18:$AB$19</c:f>
              <c:strCache>
                <c:ptCount val="2"/>
                <c:pt idx="0">
                  <c:v>No (0)</c:v>
                </c:pt>
                <c:pt idx="1">
                  <c:v>Yes (1)</c:v>
                </c:pt>
              </c:strCache>
            </c:strRef>
          </c:cat>
          <c:val>
            <c:numRef>
              <c:f>Data!$AC$18:$AC$19</c:f>
              <c:numCache>
                <c:formatCode>General</c:formatCode>
                <c:ptCount val="2"/>
                <c:pt idx="0">
                  <c:v>4.5615070879616608</c:v>
                </c:pt>
                <c:pt idx="1">
                  <c:v>4.9759173359526132</c:v>
                </c:pt>
              </c:numCache>
            </c:numRef>
          </c:val>
          <c:extLst>
            <c:ext xmlns:c16="http://schemas.microsoft.com/office/drawing/2014/chart" uri="{C3380CC4-5D6E-409C-BE32-E72D297353CC}">
              <c16:uniqueId val="{00000000-808F-4BD8-B1A1-1D18BF7AB1BB}"/>
            </c:ext>
          </c:extLst>
        </c:ser>
        <c:dLbls>
          <c:dLblPos val="outEnd"/>
          <c:showLegendKey val="0"/>
          <c:showVal val="1"/>
          <c:showCatName val="0"/>
          <c:showSerName val="0"/>
          <c:showPercent val="0"/>
          <c:showBubbleSize val="0"/>
        </c:dLbls>
        <c:gapWidth val="219"/>
        <c:overlap val="-27"/>
        <c:axId val="1945409808"/>
        <c:axId val="1836422448"/>
      </c:barChart>
      <c:catAx>
        <c:axId val="1945409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First-Time Buyer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22448"/>
        <c:crosses val="autoZero"/>
        <c:auto val="1"/>
        <c:lblAlgn val="ctr"/>
        <c:lblOffset val="100"/>
        <c:noMultiLvlLbl val="0"/>
      </c:catAx>
      <c:valAx>
        <c:axId val="183642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interest rate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409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475868</xdr:colOff>
      <xdr:row>9</xdr:row>
      <xdr:rowOff>40034</xdr:rowOff>
    </xdr:from>
    <xdr:to>
      <xdr:col>14</xdr:col>
      <xdr:colOff>166151</xdr:colOff>
      <xdr:row>24</xdr:row>
      <xdr:rowOff>40034</xdr:rowOff>
    </xdr:to>
    <xdr:graphicFrame macro="">
      <xdr:nvGraphicFramePr>
        <xdr:cNvPr id="2" name="Chart 1">
          <a:extLst>
            <a:ext uri="{FF2B5EF4-FFF2-40B4-BE49-F238E27FC236}">
              <a16:creationId xmlns:a16="http://schemas.microsoft.com/office/drawing/2014/main" id="{BD5F1FD9-62AF-4240-B0F0-43A3970E1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195711</xdr:colOff>
      <xdr:row>9</xdr:row>
      <xdr:rowOff>35032</xdr:rowOff>
    </xdr:from>
    <xdr:to>
      <xdr:col>21</xdr:col>
      <xdr:colOff>520607</xdr:colOff>
      <xdr:row>24</xdr:row>
      <xdr:rowOff>101000</xdr:rowOff>
    </xdr:to>
    <xdr:graphicFrame macro="">
      <xdr:nvGraphicFramePr>
        <xdr:cNvPr id="4" name="Chart 3">
          <a:extLst>
            <a:ext uri="{FF2B5EF4-FFF2-40B4-BE49-F238E27FC236}">
              <a16:creationId xmlns:a16="http://schemas.microsoft.com/office/drawing/2014/main" id="{6E5F0972-0D15-310A-0F61-4627FB86E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585788</xdr:colOff>
      <xdr:row>0</xdr:row>
      <xdr:rowOff>91965</xdr:rowOff>
    </xdr:from>
    <xdr:to>
      <xdr:col>13</xdr:col>
      <xdr:colOff>252748</xdr:colOff>
      <xdr:row>6</xdr:row>
      <xdr:rowOff>0</xdr:rowOff>
    </xdr:to>
    <xdr:sp macro="" textlink="">
      <xdr:nvSpPr>
        <xdr:cNvPr id="5" name="Rectangle: Rounded Corners 4">
          <a:extLst>
            <a:ext uri="{FF2B5EF4-FFF2-40B4-BE49-F238E27FC236}">
              <a16:creationId xmlns:a16="http://schemas.microsoft.com/office/drawing/2014/main" id="{F019BB7F-4378-5AC9-4109-A5615DC5E64A}"/>
            </a:ext>
          </a:extLst>
        </xdr:cNvPr>
        <xdr:cNvSpPr/>
      </xdr:nvSpPr>
      <xdr:spPr>
        <a:xfrm>
          <a:off x="5462588" y="91965"/>
          <a:ext cx="2714960" cy="9938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47624</xdr:colOff>
      <xdr:row>3</xdr:row>
      <xdr:rowOff>95251</xdr:rowOff>
    </xdr:from>
    <xdr:to>
      <xdr:col>13</xdr:col>
      <xdr:colOff>160985</xdr:colOff>
      <xdr:row>5</xdr:row>
      <xdr:rowOff>42929</xdr:rowOff>
    </xdr:to>
    <xdr:sp macro="" textlink="">
      <xdr:nvSpPr>
        <xdr:cNvPr id="9" name="TextBox 8">
          <a:extLst>
            <a:ext uri="{FF2B5EF4-FFF2-40B4-BE49-F238E27FC236}">
              <a16:creationId xmlns:a16="http://schemas.microsoft.com/office/drawing/2014/main" id="{AABB0C39-2902-AC30-7BC0-E71DDB368C6D}"/>
            </a:ext>
          </a:extLst>
        </xdr:cNvPr>
        <xdr:cNvSpPr txBox="1"/>
      </xdr:nvSpPr>
      <xdr:spPr>
        <a:xfrm>
          <a:off x="5553342" y="642603"/>
          <a:ext cx="2560347" cy="3125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400"/>
            <a:t>Borrowers with LTV Under 80%</a:t>
          </a:r>
        </a:p>
      </xdr:txBody>
    </xdr:sp>
    <xdr:clientData/>
  </xdr:twoCellAnchor>
  <xdr:twoCellAnchor>
    <xdr:from>
      <xdr:col>0</xdr:col>
      <xdr:colOff>65690</xdr:colOff>
      <xdr:row>0</xdr:row>
      <xdr:rowOff>72259</xdr:rowOff>
    </xdr:from>
    <xdr:to>
      <xdr:col>8</xdr:col>
      <xdr:colOff>514350</xdr:colOff>
      <xdr:row>4</xdr:row>
      <xdr:rowOff>19050</xdr:rowOff>
    </xdr:to>
    <xdr:sp macro="" textlink="">
      <xdr:nvSpPr>
        <xdr:cNvPr id="10" name="Rectangle 9">
          <a:extLst>
            <a:ext uri="{FF2B5EF4-FFF2-40B4-BE49-F238E27FC236}">
              <a16:creationId xmlns:a16="http://schemas.microsoft.com/office/drawing/2014/main" id="{A9614CB1-E9C9-7756-87BF-26407A7210AC}"/>
            </a:ext>
          </a:extLst>
        </xdr:cNvPr>
        <xdr:cNvSpPr/>
      </xdr:nvSpPr>
      <xdr:spPr>
        <a:xfrm>
          <a:off x="65690" y="72259"/>
          <a:ext cx="5325460" cy="67069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131379</xdr:colOff>
      <xdr:row>0</xdr:row>
      <xdr:rowOff>164225</xdr:rowOff>
    </xdr:from>
    <xdr:to>
      <xdr:col>8</xdr:col>
      <xdr:colOff>216776</xdr:colOff>
      <xdr:row>3</xdr:row>
      <xdr:rowOff>91965</xdr:rowOff>
    </xdr:to>
    <xdr:sp macro="" textlink="">
      <xdr:nvSpPr>
        <xdr:cNvPr id="11" name="TextBox 10">
          <a:extLst>
            <a:ext uri="{FF2B5EF4-FFF2-40B4-BE49-F238E27FC236}">
              <a16:creationId xmlns:a16="http://schemas.microsoft.com/office/drawing/2014/main" id="{4F803D42-EC13-5A2D-6222-9FA2424A2A93}"/>
            </a:ext>
          </a:extLst>
        </xdr:cNvPr>
        <xdr:cNvSpPr txBox="1"/>
      </xdr:nvSpPr>
      <xdr:spPr>
        <a:xfrm>
          <a:off x="131379" y="164225"/>
          <a:ext cx="4962197" cy="47066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2000"/>
            <a:t>Customer Targeting &amp; Segmentation Analysis</a:t>
          </a:r>
        </a:p>
      </xdr:txBody>
    </xdr:sp>
    <xdr:clientData/>
  </xdr:twoCellAnchor>
  <xdr:twoCellAnchor>
    <xdr:from>
      <xdr:col>13</xdr:col>
      <xdr:colOff>332850</xdr:colOff>
      <xdr:row>0</xdr:row>
      <xdr:rowOff>129523</xdr:rowOff>
    </xdr:from>
    <xdr:to>
      <xdr:col>17</xdr:col>
      <xdr:colOff>1610</xdr:colOff>
      <xdr:row>5</xdr:row>
      <xdr:rowOff>173864</xdr:rowOff>
    </xdr:to>
    <xdr:sp macro="" textlink="">
      <xdr:nvSpPr>
        <xdr:cNvPr id="12" name="Rectangle: Rounded Corners 11">
          <a:extLst>
            <a:ext uri="{FF2B5EF4-FFF2-40B4-BE49-F238E27FC236}">
              <a16:creationId xmlns:a16="http://schemas.microsoft.com/office/drawing/2014/main" id="{1BD74C0A-507D-E21B-62EC-10641A074507}"/>
            </a:ext>
          </a:extLst>
        </xdr:cNvPr>
        <xdr:cNvSpPr/>
      </xdr:nvSpPr>
      <xdr:spPr>
        <a:xfrm>
          <a:off x="8257650" y="129523"/>
          <a:ext cx="2107160" cy="94921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l"/>
          <a:endParaRPr lang="en-IN" sz="2000" b="1" i="0" u="none" strike="noStrike">
            <a:solidFill>
              <a:schemeClr val="bg1"/>
            </a:solidFill>
            <a:latin typeface="Calibri"/>
            <a:ea typeface="Calibri"/>
            <a:cs typeface="Calibri"/>
          </a:endParaRPr>
        </a:p>
      </xdr:txBody>
    </xdr:sp>
    <xdr:clientData/>
  </xdr:twoCellAnchor>
  <xdr:twoCellAnchor>
    <xdr:from>
      <xdr:col>14</xdr:col>
      <xdr:colOff>337985</xdr:colOff>
      <xdr:row>0</xdr:row>
      <xdr:rowOff>176130</xdr:rowOff>
    </xdr:from>
    <xdr:to>
      <xdr:col>15</xdr:col>
      <xdr:colOff>423382</xdr:colOff>
      <xdr:row>2</xdr:row>
      <xdr:rowOff>117010</xdr:rowOff>
    </xdr:to>
    <xdr:sp macro="" textlink="'Pivot table'!E20">
      <xdr:nvSpPr>
        <xdr:cNvPr id="13" name="TextBox 12">
          <a:extLst>
            <a:ext uri="{FF2B5EF4-FFF2-40B4-BE49-F238E27FC236}">
              <a16:creationId xmlns:a16="http://schemas.microsoft.com/office/drawing/2014/main" id="{AE27D1CB-6735-AEEC-67C7-31DC4BF3EA89}"/>
            </a:ext>
          </a:extLst>
        </xdr:cNvPr>
        <xdr:cNvSpPr txBox="1"/>
      </xdr:nvSpPr>
      <xdr:spPr>
        <a:xfrm>
          <a:off x="8902436" y="176130"/>
          <a:ext cx="697143" cy="30578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7609C410-70EB-4A6D-A9D0-B01B2FDAD940}" type="TxLink">
            <a:rPr lang="en-US" sz="2000" b="1" i="0" u="none" strike="noStrike">
              <a:solidFill>
                <a:schemeClr val="bg1"/>
              </a:solidFill>
              <a:latin typeface="Calibri"/>
              <a:ea typeface="Calibri"/>
              <a:cs typeface="Calibri"/>
            </a:rPr>
            <a:pPr marL="0" indent="0"/>
            <a:t>500</a:t>
          </a:fld>
          <a:endParaRPr lang="en-IN" sz="2000" b="1" i="0" u="none" strike="noStrike">
            <a:solidFill>
              <a:schemeClr val="bg1"/>
            </a:solidFill>
            <a:latin typeface="Calibri"/>
            <a:ea typeface="Calibri"/>
            <a:cs typeface="Calibri"/>
          </a:endParaRPr>
        </a:p>
      </xdr:txBody>
    </xdr:sp>
    <xdr:clientData/>
  </xdr:twoCellAnchor>
  <xdr:twoCellAnchor>
    <xdr:from>
      <xdr:col>13</xdr:col>
      <xdr:colOff>418564</xdr:colOff>
      <xdr:row>3</xdr:row>
      <xdr:rowOff>75127</xdr:rowOff>
    </xdr:from>
    <xdr:to>
      <xdr:col>16</xdr:col>
      <xdr:colOff>562222</xdr:colOff>
      <xdr:row>4</xdr:row>
      <xdr:rowOff>150254</xdr:rowOff>
    </xdr:to>
    <xdr:sp macro="" textlink="">
      <xdr:nvSpPr>
        <xdr:cNvPr id="14" name="TextBox 13">
          <a:extLst>
            <a:ext uri="{FF2B5EF4-FFF2-40B4-BE49-F238E27FC236}">
              <a16:creationId xmlns:a16="http://schemas.microsoft.com/office/drawing/2014/main" id="{4A54D681-6C76-41AE-63C6-F6F497272753}"/>
            </a:ext>
          </a:extLst>
        </xdr:cNvPr>
        <xdr:cNvSpPr txBox="1"/>
      </xdr:nvSpPr>
      <xdr:spPr>
        <a:xfrm>
          <a:off x="8371268" y="622479"/>
          <a:ext cx="1978898" cy="2575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400"/>
            <a:t>Total</a:t>
          </a:r>
          <a:r>
            <a:rPr lang="en-IN" sz="1400" baseline="0"/>
            <a:t> no. of borrowers</a:t>
          </a:r>
          <a:endParaRPr lang="en-IN" sz="1400"/>
        </a:p>
      </xdr:txBody>
    </xdr:sp>
    <xdr:clientData/>
  </xdr:twoCellAnchor>
  <xdr:twoCellAnchor>
    <xdr:from>
      <xdr:col>6</xdr:col>
      <xdr:colOff>472940</xdr:colOff>
      <xdr:row>27</xdr:row>
      <xdr:rowOff>113150</xdr:rowOff>
    </xdr:from>
    <xdr:to>
      <xdr:col>14</xdr:col>
      <xdr:colOff>187037</xdr:colOff>
      <xdr:row>44</xdr:row>
      <xdr:rowOff>162303</xdr:rowOff>
    </xdr:to>
    <xdr:graphicFrame macro="">
      <xdr:nvGraphicFramePr>
        <xdr:cNvPr id="24" name="Chart 23">
          <a:extLst>
            <a:ext uri="{FF2B5EF4-FFF2-40B4-BE49-F238E27FC236}">
              <a16:creationId xmlns:a16="http://schemas.microsoft.com/office/drawing/2014/main" id="{E8534B85-5F51-45BD-8F75-7A527C102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249398</xdr:colOff>
      <xdr:row>27</xdr:row>
      <xdr:rowOff>107482</xdr:rowOff>
    </xdr:from>
    <xdr:to>
      <xdr:col>22</xdr:col>
      <xdr:colOff>103374</xdr:colOff>
      <xdr:row>44</xdr:row>
      <xdr:rowOff>114810</xdr:rowOff>
    </xdr:to>
    <xdr:graphicFrame macro="">
      <xdr:nvGraphicFramePr>
        <xdr:cNvPr id="25" name="Chart 24">
          <a:extLst>
            <a:ext uri="{FF2B5EF4-FFF2-40B4-BE49-F238E27FC236}">
              <a16:creationId xmlns:a16="http://schemas.microsoft.com/office/drawing/2014/main" id="{E2DA8300-4D32-4754-B3EB-5618CB9CD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446080</xdr:colOff>
      <xdr:row>6</xdr:row>
      <xdr:rowOff>122682</xdr:rowOff>
    </xdr:from>
    <xdr:to>
      <xdr:col>16</xdr:col>
      <xdr:colOff>457200</xdr:colOff>
      <xdr:row>9</xdr:row>
      <xdr:rowOff>0</xdr:rowOff>
    </xdr:to>
    <xdr:sp macro="" textlink="">
      <xdr:nvSpPr>
        <xdr:cNvPr id="30" name="TextBox 29">
          <a:extLst>
            <a:ext uri="{FF2B5EF4-FFF2-40B4-BE49-F238E27FC236}">
              <a16:creationId xmlns:a16="http://schemas.microsoft.com/office/drawing/2014/main" id="{0E1FBEDB-F47B-E502-DFF5-989B06BE3852}"/>
            </a:ext>
          </a:extLst>
        </xdr:cNvPr>
        <xdr:cNvSpPr txBox="1"/>
      </xdr:nvSpPr>
      <xdr:spPr>
        <a:xfrm>
          <a:off x="5932480" y="1208532"/>
          <a:ext cx="4278320" cy="42024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2000"/>
            <a:t>     </a:t>
          </a:r>
          <a:r>
            <a:rPr lang="en-IN" sz="2000" baseline="0"/>
            <a:t> </a:t>
          </a:r>
          <a:r>
            <a:rPr lang="en-IN" sz="1600"/>
            <a:t>CSR Targeting: Minority Concentration</a:t>
          </a:r>
        </a:p>
      </xdr:txBody>
    </xdr:sp>
    <xdr:clientData/>
  </xdr:twoCellAnchor>
  <xdr:twoCellAnchor>
    <xdr:from>
      <xdr:col>9</xdr:col>
      <xdr:colOff>402490</xdr:colOff>
      <xdr:row>24</xdr:row>
      <xdr:rowOff>174690</xdr:rowOff>
    </xdr:from>
    <xdr:to>
      <xdr:col>17</xdr:col>
      <xdr:colOff>514350</xdr:colOff>
      <xdr:row>27</xdr:row>
      <xdr:rowOff>57150</xdr:rowOff>
    </xdr:to>
    <xdr:sp macro="" textlink="">
      <xdr:nvSpPr>
        <xdr:cNvPr id="31" name="TextBox 30">
          <a:extLst>
            <a:ext uri="{FF2B5EF4-FFF2-40B4-BE49-F238E27FC236}">
              <a16:creationId xmlns:a16="http://schemas.microsoft.com/office/drawing/2014/main" id="{9CA9C68D-5A86-E16B-437D-03A5B73B3BE8}"/>
            </a:ext>
          </a:extLst>
        </xdr:cNvPr>
        <xdr:cNvSpPr txBox="1"/>
      </xdr:nvSpPr>
      <xdr:spPr>
        <a:xfrm>
          <a:off x="5888890" y="4518090"/>
          <a:ext cx="4988660" cy="42538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2000"/>
            <a:t>    </a:t>
          </a:r>
          <a:r>
            <a:rPr lang="en-IN" sz="1800"/>
            <a:t>Cross-Sell Segmentation: Silver &amp; Golden Pools</a:t>
          </a:r>
        </a:p>
      </xdr:txBody>
    </xdr:sp>
    <xdr:clientData/>
  </xdr:twoCellAnchor>
  <xdr:twoCellAnchor>
    <xdr:from>
      <xdr:col>0</xdr:col>
      <xdr:colOff>113145</xdr:colOff>
      <xdr:row>4</xdr:row>
      <xdr:rowOff>68404</xdr:rowOff>
    </xdr:from>
    <xdr:to>
      <xdr:col>6</xdr:col>
      <xdr:colOff>461493</xdr:colOff>
      <xdr:row>9</xdr:row>
      <xdr:rowOff>176259</xdr:rowOff>
    </xdr:to>
    <xdr:sp macro="" textlink="">
      <xdr:nvSpPr>
        <xdr:cNvPr id="3" name="Rectangle: Rounded Corners 2">
          <a:extLst>
            <a:ext uri="{FF2B5EF4-FFF2-40B4-BE49-F238E27FC236}">
              <a16:creationId xmlns:a16="http://schemas.microsoft.com/office/drawing/2014/main" id="{8F5CB9D7-F374-754A-7EC7-108B75037FD2}"/>
            </a:ext>
          </a:extLst>
        </xdr:cNvPr>
        <xdr:cNvSpPr/>
      </xdr:nvSpPr>
      <xdr:spPr>
        <a:xfrm>
          <a:off x="113145" y="798207"/>
          <a:ext cx="4018827" cy="10201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71785</xdr:colOff>
      <xdr:row>0</xdr:row>
      <xdr:rowOff>120000</xdr:rowOff>
    </xdr:from>
    <xdr:to>
      <xdr:col>20</xdr:col>
      <xdr:colOff>350145</xdr:colOff>
      <xdr:row>5</xdr:row>
      <xdr:rowOff>164341</xdr:rowOff>
    </xdr:to>
    <xdr:sp macro="" textlink="">
      <xdr:nvSpPr>
        <xdr:cNvPr id="16" name="Rectangle: Rounded Corners 15">
          <a:extLst>
            <a:ext uri="{FF2B5EF4-FFF2-40B4-BE49-F238E27FC236}">
              <a16:creationId xmlns:a16="http://schemas.microsoft.com/office/drawing/2014/main" id="{53C54175-50E5-E5BA-7DC0-7F11954ED81A}"/>
            </a:ext>
          </a:extLst>
        </xdr:cNvPr>
        <xdr:cNvSpPr/>
      </xdr:nvSpPr>
      <xdr:spPr>
        <a:xfrm>
          <a:off x="10471475" y="120000"/>
          <a:ext cx="2113600" cy="956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148104</xdr:colOff>
      <xdr:row>3</xdr:row>
      <xdr:rowOff>103635</xdr:rowOff>
    </xdr:from>
    <xdr:to>
      <xdr:col>20</xdr:col>
      <xdr:colOff>284411</xdr:colOff>
      <xdr:row>5</xdr:row>
      <xdr:rowOff>67917</xdr:rowOff>
    </xdr:to>
    <xdr:sp macro="" textlink="">
      <xdr:nvSpPr>
        <xdr:cNvPr id="8" name="TextBox 7">
          <a:extLst>
            <a:ext uri="{FF2B5EF4-FFF2-40B4-BE49-F238E27FC236}">
              <a16:creationId xmlns:a16="http://schemas.microsoft.com/office/drawing/2014/main" id="{03CF793E-A363-C47E-1C4A-B28158FE107D}"/>
            </a:ext>
          </a:extLst>
        </xdr:cNvPr>
        <xdr:cNvSpPr txBox="1"/>
      </xdr:nvSpPr>
      <xdr:spPr>
        <a:xfrm>
          <a:off x="10547794" y="650987"/>
          <a:ext cx="1971547" cy="32918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200"/>
            <a:t>Concentration in Location 6</a:t>
          </a:r>
        </a:p>
      </xdr:txBody>
    </xdr:sp>
    <xdr:clientData/>
  </xdr:twoCellAnchor>
  <xdr:twoCellAnchor>
    <xdr:from>
      <xdr:col>2</xdr:col>
      <xdr:colOff>374272</xdr:colOff>
      <xdr:row>4</xdr:row>
      <xdr:rowOff>162375</xdr:rowOff>
    </xdr:from>
    <xdr:to>
      <xdr:col>3</xdr:col>
      <xdr:colOff>459670</xdr:colOff>
      <xdr:row>6</xdr:row>
      <xdr:rowOff>103254</xdr:rowOff>
    </xdr:to>
    <xdr:sp macro="" textlink="Data!AC27">
      <xdr:nvSpPr>
        <xdr:cNvPr id="15" name="TextBox 14">
          <a:extLst>
            <a:ext uri="{FF2B5EF4-FFF2-40B4-BE49-F238E27FC236}">
              <a16:creationId xmlns:a16="http://schemas.microsoft.com/office/drawing/2014/main" id="{D84F1C70-71DB-3F10-32CD-070DA917F9D9}"/>
            </a:ext>
          </a:extLst>
        </xdr:cNvPr>
        <xdr:cNvSpPr txBox="1"/>
      </xdr:nvSpPr>
      <xdr:spPr>
        <a:xfrm>
          <a:off x="1597765" y="892178"/>
          <a:ext cx="697144" cy="3057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6C06332C-746F-42EB-83B1-22671D3A9383}" type="TxLink">
            <a:rPr lang="en-US" sz="2000" b="1" i="0" u="none" strike="noStrike">
              <a:solidFill>
                <a:schemeClr val="bg1"/>
              </a:solidFill>
              <a:latin typeface="Calibri"/>
              <a:ea typeface="Calibri"/>
              <a:cs typeface="Calibri"/>
            </a:rPr>
            <a:pPr marL="0" indent="0"/>
            <a:t>109</a:t>
          </a:fld>
          <a:endParaRPr lang="en-IN" sz="2000" b="1" i="0" u="none" strike="noStrike">
            <a:solidFill>
              <a:schemeClr val="bg1"/>
            </a:solidFill>
            <a:latin typeface="Calibri"/>
            <a:ea typeface="Calibri"/>
            <a:cs typeface="Calibri"/>
          </a:endParaRPr>
        </a:p>
      </xdr:txBody>
    </xdr:sp>
    <xdr:clientData/>
  </xdr:twoCellAnchor>
  <xdr:twoCellAnchor>
    <xdr:from>
      <xdr:col>0</xdr:col>
      <xdr:colOff>311240</xdr:colOff>
      <xdr:row>7</xdr:row>
      <xdr:rowOff>75127</xdr:rowOff>
    </xdr:from>
    <xdr:to>
      <xdr:col>6</xdr:col>
      <xdr:colOff>300507</xdr:colOff>
      <xdr:row>9</xdr:row>
      <xdr:rowOff>64395</xdr:rowOff>
    </xdr:to>
    <xdr:sp macro="" textlink="">
      <xdr:nvSpPr>
        <xdr:cNvPr id="19" name="TextBox 18">
          <a:extLst>
            <a:ext uri="{FF2B5EF4-FFF2-40B4-BE49-F238E27FC236}">
              <a16:creationId xmlns:a16="http://schemas.microsoft.com/office/drawing/2014/main" id="{171ED739-1DFB-757D-57FF-B0017E0EA80E}"/>
            </a:ext>
          </a:extLst>
        </xdr:cNvPr>
        <xdr:cNvSpPr txBox="1"/>
      </xdr:nvSpPr>
      <xdr:spPr>
        <a:xfrm>
          <a:off x="311240" y="1352282"/>
          <a:ext cx="3659746" cy="35416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400"/>
            <a:t>Total Cross-Sell Opportunities (Silver + Golden)</a:t>
          </a:r>
        </a:p>
      </xdr:txBody>
    </xdr:sp>
    <xdr:clientData/>
  </xdr:twoCellAnchor>
  <xdr:twoCellAnchor>
    <xdr:from>
      <xdr:col>17</xdr:col>
      <xdr:colOff>601014</xdr:colOff>
      <xdr:row>1</xdr:row>
      <xdr:rowOff>53661</xdr:rowOff>
    </xdr:from>
    <xdr:to>
      <xdr:col>19</xdr:col>
      <xdr:colOff>524494</xdr:colOff>
      <xdr:row>3</xdr:row>
      <xdr:rowOff>148440</xdr:rowOff>
    </xdr:to>
    <xdr:sp macro="" textlink="Data!AC10">
      <xdr:nvSpPr>
        <xdr:cNvPr id="32" name="TextBox 31">
          <a:extLst>
            <a:ext uri="{FF2B5EF4-FFF2-40B4-BE49-F238E27FC236}">
              <a16:creationId xmlns:a16="http://schemas.microsoft.com/office/drawing/2014/main" id="{F95674A5-09F0-DBC3-B135-09584457F2AE}"/>
            </a:ext>
          </a:extLst>
        </xdr:cNvPr>
        <xdr:cNvSpPr txBox="1"/>
      </xdr:nvSpPr>
      <xdr:spPr>
        <a:xfrm>
          <a:off x="11031508" y="231791"/>
          <a:ext cx="1150596" cy="45103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52B8D582-E671-471C-AA19-3F82384D7B27}" type="TxLink">
            <a:rPr lang="en-US" sz="2000" b="1" i="0" u="none" strike="noStrike">
              <a:solidFill>
                <a:schemeClr val="bg1"/>
              </a:solidFill>
              <a:latin typeface="Calibri"/>
              <a:ea typeface="Calibri"/>
              <a:cs typeface="Calibri"/>
            </a:rPr>
            <a:pPr marL="0" indent="0"/>
            <a:t>52.94%</a:t>
          </a:fld>
          <a:endParaRPr lang="en-IN" sz="2000" b="1" i="0" u="none" strike="noStrike">
            <a:solidFill>
              <a:schemeClr val="bg1"/>
            </a:solidFill>
            <a:latin typeface="Calibri"/>
            <a:ea typeface="Calibri"/>
            <a:cs typeface="Calibri"/>
          </a:endParaRPr>
        </a:p>
      </xdr:txBody>
    </xdr:sp>
    <xdr:clientData/>
  </xdr:twoCellAnchor>
  <xdr:twoCellAnchor>
    <xdr:from>
      <xdr:col>10</xdr:col>
      <xdr:colOff>337984</xdr:colOff>
      <xdr:row>1</xdr:row>
      <xdr:rowOff>4411</xdr:rowOff>
    </xdr:from>
    <xdr:to>
      <xdr:col>12</xdr:col>
      <xdr:colOff>217714</xdr:colOff>
      <xdr:row>3</xdr:row>
      <xdr:rowOff>128648</xdr:rowOff>
    </xdr:to>
    <xdr:sp macro="" textlink="'Pivot table'!F15">
      <xdr:nvSpPr>
        <xdr:cNvPr id="34" name="TextBox 33">
          <a:extLst>
            <a:ext uri="{FF2B5EF4-FFF2-40B4-BE49-F238E27FC236}">
              <a16:creationId xmlns:a16="http://schemas.microsoft.com/office/drawing/2014/main" id="{7249F50A-D8C3-EA43-CD78-91C6EAE2414D}"/>
            </a:ext>
          </a:extLst>
        </xdr:cNvPr>
        <xdr:cNvSpPr txBox="1"/>
      </xdr:nvSpPr>
      <xdr:spPr>
        <a:xfrm>
          <a:off x="6473568" y="182541"/>
          <a:ext cx="1106847" cy="48049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649E04C9-AFCD-4ED2-A484-658226C2CBB6}" type="TxLink">
            <a:rPr lang="en-US" sz="2000" b="1" i="0" u="none" strike="noStrike">
              <a:solidFill>
                <a:schemeClr val="bg1"/>
              </a:solidFill>
              <a:latin typeface="Calibri"/>
              <a:ea typeface="Calibri"/>
              <a:cs typeface="Calibri"/>
            </a:rPr>
            <a:pPr marL="0" indent="0"/>
            <a:t>74.20%</a:t>
          </a:fld>
          <a:endParaRPr lang="en-IN" sz="2000" b="1" i="0" u="none" strike="noStrike">
            <a:solidFill>
              <a:schemeClr val="bg1"/>
            </a:solidFill>
            <a:latin typeface="Calibri"/>
            <a:ea typeface="Calibri"/>
            <a:cs typeface="Calibri"/>
          </a:endParaRPr>
        </a:p>
      </xdr:txBody>
    </xdr:sp>
    <xdr:clientData/>
  </xdr:twoCellAnchor>
  <xdr:twoCellAnchor editAs="oneCell">
    <xdr:from>
      <xdr:col>0</xdr:col>
      <xdr:colOff>93133</xdr:colOff>
      <xdr:row>11</xdr:row>
      <xdr:rowOff>8892</xdr:rowOff>
    </xdr:from>
    <xdr:to>
      <xdr:col>3</xdr:col>
      <xdr:colOff>80433</xdr:colOff>
      <xdr:row>17</xdr:row>
      <xdr:rowOff>104776</xdr:rowOff>
    </xdr:to>
    <mc:AlternateContent xmlns:mc="http://schemas.openxmlformats.org/markup-compatibility/2006" xmlns:a14="http://schemas.microsoft.com/office/drawing/2010/main">
      <mc:Choice Requires="a14">
        <xdr:graphicFrame macro="">
          <xdr:nvGraphicFramePr>
            <xdr:cNvPr id="35" name="Wide Area Location Code">
              <a:extLst>
                <a:ext uri="{FF2B5EF4-FFF2-40B4-BE49-F238E27FC236}">
                  <a16:creationId xmlns:a16="http://schemas.microsoft.com/office/drawing/2014/main" id="{5B36E5EB-1D1A-9DC0-11B0-E2032CC19054}"/>
                </a:ext>
              </a:extLst>
            </xdr:cNvPr>
            <xdr:cNvGraphicFramePr/>
          </xdr:nvGraphicFramePr>
          <xdr:xfrm>
            <a:off x="0" y="0"/>
            <a:ext cx="0" cy="0"/>
          </xdr:xfrm>
          <a:graphic>
            <a:graphicData uri="http://schemas.microsoft.com/office/drawing/2010/slicer">
              <sle:slicer xmlns:sle="http://schemas.microsoft.com/office/drawing/2010/slicer" name="Wide Area Location Code"/>
            </a:graphicData>
          </a:graphic>
        </xdr:graphicFrame>
      </mc:Choice>
      <mc:Fallback xmlns="">
        <xdr:sp macro="" textlink="">
          <xdr:nvSpPr>
            <xdr:cNvPr id="0" name=""/>
            <xdr:cNvSpPr>
              <a:spLocks noTextEdit="1"/>
            </xdr:cNvSpPr>
          </xdr:nvSpPr>
          <xdr:spPr>
            <a:xfrm>
              <a:off x="93133" y="2024816"/>
              <a:ext cx="1810313" cy="1195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508635</xdr:colOff>
      <xdr:row>23</xdr:row>
      <xdr:rowOff>157692</xdr:rowOff>
    </xdr:from>
    <xdr:to>
      <xdr:col>4</xdr:col>
      <xdr:colOff>495935</xdr:colOff>
      <xdr:row>30</xdr:row>
      <xdr:rowOff>19050</xdr:rowOff>
    </xdr:to>
    <mc:AlternateContent xmlns:mc="http://schemas.openxmlformats.org/markup-compatibility/2006" xmlns:a14="http://schemas.microsoft.com/office/drawing/2010/main">
      <mc:Choice Requires="a14">
        <xdr:graphicFrame macro="">
          <xdr:nvGraphicFramePr>
            <xdr:cNvPr id="36" name="Minority range">
              <a:extLst>
                <a:ext uri="{FF2B5EF4-FFF2-40B4-BE49-F238E27FC236}">
                  <a16:creationId xmlns:a16="http://schemas.microsoft.com/office/drawing/2014/main" id="{40866144-2919-49D7-993A-E243D2702FC2}"/>
                </a:ext>
              </a:extLst>
            </xdr:cNvPr>
            <xdr:cNvGraphicFramePr/>
          </xdr:nvGraphicFramePr>
          <xdr:xfrm>
            <a:off x="0" y="0"/>
            <a:ext cx="0" cy="0"/>
          </xdr:xfrm>
          <a:graphic>
            <a:graphicData uri="http://schemas.microsoft.com/office/drawing/2010/slicer">
              <sle:slicer xmlns:sle="http://schemas.microsoft.com/office/drawing/2010/slicer" name="Minority range"/>
            </a:graphicData>
          </a:graphic>
        </xdr:graphicFrame>
      </mc:Choice>
      <mc:Fallback xmlns="">
        <xdr:sp macro="" textlink="">
          <xdr:nvSpPr>
            <xdr:cNvPr id="0" name=""/>
            <xdr:cNvSpPr>
              <a:spLocks noTextEdit="1"/>
            </xdr:cNvSpPr>
          </xdr:nvSpPr>
          <xdr:spPr>
            <a:xfrm>
              <a:off x="1116306" y="4372806"/>
              <a:ext cx="1810313" cy="1144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205528</xdr:colOff>
      <xdr:row>11</xdr:row>
      <xdr:rowOff>12278</xdr:rowOff>
    </xdr:from>
    <xdr:to>
      <xdr:col>6</xdr:col>
      <xdr:colOff>192828</xdr:colOff>
      <xdr:row>17</xdr:row>
      <xdr:rowOff>123825</xdr:rowOff>
    </xdr:to>
    <mc:AlternateContent xmlns:mc="http://schemas.openxmlformats.org/markup-compatibility/2006" xmlns:a14="http://schemas.microsoft.com/office/drawing/2010/main">
      <mc:Choice Requires="a14">
        <xdr:graphicFrame macro="">
          <xdr:nvGraphicFramePr>
            <xdr:cNvPr id="37" name="LTV">
              <a:extLst>
                <a:ext uri="{FF2B5EF4-FFF2-40B4-BE49-F238E27FC236}">
                  <a16:creationId xmlns:a16="http://schemas.microsoft.com/office/drawing/2014/main" id="{0F3796D1-A85C-5791-DDD7-CF8C55865894}"/>
                </a:ext>
              </a:extLst>
            </xdr:cNvPr>
            <xdr:cNvGraphicFramePr/>
          </xdr:nvGraphicFramePr>
          <xdr:xfrm>
            <a:off x="0" y="0"/>
            <a:ext cx="0" cy="0"/>
          </xdr:xfrm>
          <a:graphic>
            <a:graphicData uri="http://schemas.microsoft.com/office/drawing/2010/slicer">
              <sle:slicer xmlns:sle="http://schemas.microsoft.com/office/drawing/2010/slicer" name="LTV"/>
            </a:graphicData>
          </a:graphic>
        </xdr:graphicFrame>
      </mc:Choice>
      <mc:Fallback xmlns="">
        <xdr:sp macro="" textlink="">
          <xdr:nvSpPr>
            <xdr:cNvPr id="0" name=""/>
            <xdr:cNvSpPr>
              <a:spLocks noTextEdit="1"/>
            </xdr:cNvSpPr>
          </xdr:nvSpPr>
          <xdr:spPr>
            <a:xfrm>
              <a:off x="2028541" y="2028202"/>
              <a:ext cx="1810312" cy="1211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113031</xdr:colOff>
      <xdr:row>18</xdr:row>
      <xdr:rowOff>54188</xdr:rowOff>
    </xdr:from>
    <xdr:to>
      <xdr:col>3</xdr:col>
      <xdr:colOff>100331</xdr:colOff>
      <xdr:row>23</xdr:row>
      <xdr:rowOff>109009</xdr:rowOff>
    </xdr:to>
    <mc:AlternateContent xmlns:mc="http://schemas.openxmlformats.org/markup-compatibility/2006" xmlns:a14="http://schemas.microsoft.com/office/drawing/2010/main">
      <mc:Choice Requires="a14">
        <xdr:graphicFrame macro="">
          <xdr:nvGraphicFramePr>
            <xdr:cNvPr id="38" name="Silver pool target borrowers">
              <a:extLst>
                <a:ext uri="{FF2B5EF4-FFF2-40B4-BE49-F238E27FC236}">
                  <a16:creationId xmlns:a16="http://schemas.microsoft.com/office/drawing/2014/main" id="{9201B7C0-51C9-97B1-0875-9A024C41802A}"/>
                </a:ext>
              </a:extLst>
            </xdr:cNvPr>
            <xdr:cNvGraphicFramePr/>
          </xdr:nvGraphicFramePr>
          <xdr:xfrm>
            <a:off x="0" y="0"/>
            <a:ext cx="0" cy="0"/>
          </xdr:xfrm>
          <a:graphic>
            <a:graphicData uri="http://schemas.microsoft.com/office/drawing/2010/slicer">
              <sle:slicer xmlns:sle="http://schemas.microsoft.com/office/drawing/2010/slicer" name="Silver pool target borrowers"/>
            </a:graphicData>
          </a:graphic>
        </xdr:graphicFrame>
      </mc:Choice>
      <mc:Fallback xmlns="">
        <xdr:sp macro="" textlink="">
          <xdr:nvSpPr>
            <xdr:cNvPr id="0" name=""/>
            <xdr:cNvSpPr>
              <a:spLocks noTextEdit="1"/>
            </xdr:cNvSpPr>
          </xdr:nvSpPr>
          <xdr:spPr>
            <a:xfrm>
              <a:off x="113031" y="3352973"/>
              <a:ext cx="1810313" cy="97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218440</xdr:colOff>
      <xdr:row>18</xdr:row>
      <xdr:rowOff>22015</xdr:rowOff>
    </xdr:from>
    <xdr:to>
      <xdr:col>6</xdr:col>
      <xdr:colOff>205740</xdr:colOff>
      <xdr:row>23</xdr:row>
      <xdr:rowOff>136526</xdr:rowOff>
    </xdr:to>
    <mc:AlternateContent xmlns:mc="http://schemas.openxmlformats.org/markup-compatibility/2006" xmlns:a14="http://schemas.microsoft.com/office/drawing/2010/main">
      <mc:Choice Requires="a14">
        <xdr:graphicFrame macro="">
          <xdr:nvGraphicFramePr>
            <xdr:cNvPr id="39" name="Golden pool target borrowers">
              <a:extLst>
                <a:ext uri="{FF2B5EF4-FFF2-40B4-BE49-F238E27FC236}">
                  <a16:creationId xmlns:a16="http://schemas.microsoft.com/office/drawing/2014/main" id="{4C3197F2-CB06-681A-9FB5-AAE55A189D1C}"/>
                </a:ext>
              </a:extLst>
            </xdr:cNvPr>
            <xdr:cNvGraphicFramePr/>
          </xdr:nvGraphicFramePr>
          <xdr:xfrm>
            <a:off x="0" y="0"/>
            <a:ext cx="0" cy="0"/>
          </xdr:xfrm>
          <a:graphic>
            <a:graphicData uri="http://schemas.microsoft.com/office/drawing/2010/slicer">
              <sle:slicer xmlns:sle="http://schemas.microsoft.com/office/drawing/2010/slicer" name="Golden pool target borrowers"/>
            </a:graphicData>
          </a:graphic>
        </xdr:graphicFrame>
      </mc:Choice>
      <mc:Fallback xmlns="">
        <xdr:sp macro="" textlink="">
          <xdr:nvSpPr>
            <xdr:cNvPr id="0" name=""/>
            <xdr:cNvSpPr>
              <a:spLocks noTextEdit="1"/>
            </xdr:cNvSpPr>
          </xdr:nvSpPr>
          <xdr:spPr>
            <a:xfrm>
              <a:off x="2041453" y="3320800"/>
              <a:ext cx="1810312" cy="1030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447675</xdr:colOff>
      <xdr:row>1</xdr:row>
      <xdr:rowOff>0</xdr:rowOff>
    </xdr:from>
    <xdr:to>
      <xdr:col>16</xdr:col>
      <xdr:colOff>352424</xdr:colOff>
      <xdr:row>3</xdr:row>
      <xdr:rowOff>152399</xdr:rowOff>
    </xdr:to>
    <xdr:pic>
      <xdr:nvPicPr>
        <xdr:cNvPr id="41" name="Graphic 40" descr="Customer review with solid fill">
          <a:extLst>
            <a:ext uri="{FF2B5EF4-FFF2-40B4-BE49-F238E27FC236}">
              <a16:creationId xmlns:a16="http://schemas.microsoft.com/office/drawing/2014/main" id="{442CE8D2-9EB8-53F2-2379-1D50E737F0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91675" y="180975"/>
          <a:ext cx="514349" cy="514349"/>
        </a:xfrm>
        <a:prstGeom prst="rect">
          <a:avLst/>
        </a:prstGeom>
      </xdr:spPr>
    </xdr:pic>
    <xdr:clientData/>
  </xdr:twoCellAnchor>
  <xdr:twoCellAnchor editAs="oneCell">
    <xdr:from>
      <xdr:col>8</xdr:col>
      <xdr:colOff>38100</xdr:colOff>
      <xdr:row>0</xdr:row>
      <xdr:rowOff>123825</xdr:rowOff>
    </xdr:from>
    <xdr:to>
      <xdr:col>8</xdr:col>
      <xdr:colOff>542925</xdr:colOff>
      <xdr:row>3</xdr:row>
      <xdr:rowOff>117948</xdr:rowOff>
    </xdr:to>
    <xdr:pic>
      <xdr:nvPicPr>
        <xdr:cNvPr id="43" name="Graphic 42" descr="Target Audience with solid fill">
          <a:extLst>
            <a:ext uri="{FF2B5EF4-FFF2-40B4-BE49-F238E27FC236}">
              <a16:creationId xmlns:a16="http://schemas.microsoft.com/office/drawing/2014/main" id="{D26EE509-68F0-7C5E-B7C9-3924AA9BD80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14900" y="123825"/>
          <a:ext cx="504825" cy="537048"/>
        </a:xfrm>
        <a:prstGeom prst="rect">
          <a:avLst/>
        </a:prstGeom>
      </xdr:spPr>
    </xdr:pic>
    <xdr:clientData/>
  </xdr:twoCellAnchor>
  <xdr:twoCellAnchor editAs="oneCell">
    <xdr:from>
      <xdr:col>4</xdr:col>
      <xdr:colOff>409575</xdr:colOff>
      <xdr:row>5</xdr:row>
      <xdr:rowOff>1</xdr:rowOff>
    </xdr:from>
    <xdr:to>
      <xdr:col>5</xdr:col>
      <xdr:colOff>304800</xdr:colOff>
      <xdr:row>7</xdr:row>
      <xdr:rowOff>61975</xdr:rowOff>
    </xdr:to>
    <xdr:pic>
      <xdr:nvPicPr>
        <xdr:cNvPr id="45" name="Picture 44">
          <a:extLst>
            <a:ext uri="{FF2B5EF4-FFF2-40B4-BE49-F238E27FC236}">
              <a16:creationId xmlns:a16="http://schemas.microsoft.com/office/drawing/2014/main" id="{1A8877D1-AF3E-B506-1B7F-097E7EE6835A}"/>
            </a:ext>
          </a:extLst>
        </xdr:cNvPr>
        <xdr:cNvPicPr>
          <a:picLocks noChangeAspect="1"/>
        </xdr:cNvPicPr>
      </xdr:nvPicPr>
      <xdr:blipFill>
        <a:blip xmlns:r="http://schemas.openxmlformats.org/officeDocument/2006/relationships" r:embed="rId9"/>
        <a:stretch>
          <a:fillRect/>
        </a:stretch>
      </xdr:blipFill>
      <xdr:spPr>
        <a:xfrm>
          <a:off x="2847975" y="904876"/>
          <a:ext cx="504825" cy="423924"/>
        </a:xfrm>
        <a:prstGeom prst="rect">
          <a:avLst/>
        </a:prstGeom>
      </xdr:spPr>
    </xdr:pic>
    <xdr:clientData/>
  </xdr:twoCellAnchor>
  <xdr:twoCellAnchor editAs="oneCell">
    <xdr:from>
      <xdr:col>4</xdr:col>
      <xdr:colOff>419100</xdr:colOff>
      <xdr:row>4</xdr:row>
      <xdr:rowOff>142875</xdr:rowOff>
    </xdr:from>
    <xdr:to>
      <xdr:col>5</xdr:col>
      <xdr:colOff>303873</xdr:colOff>
      <xdr:row>7</xdr:row>
      <xdr:rowOff>85725</xdr:rowOff>
    </xdr:to>
    <xdr:pic>
      <xdr:nvPicPr>
        <xdr:cNvPr id="46" name="Picture 45">
          <a:extLst>
            <a:ext uri="{FF2B5EF4-FFF2-40B4-BE49-F238E27FC236}">
              <a16:creationId xmlns:a16="http://schemas.microsoft.com/office/drawing/2014/main" id="{1F72ACD2-6DAB-3267-E61C-77F19D561331}"/>
            </a:ext>
          </a:extLst>
        </xdr:cNvPr>
        <xdr:cNvPicPr>
          <a:picLocks noChangeAspect="1"/>
        </xdr:cNvPicPr>
      </xdr:nvPicPr>
      <xdr:blipFill>
        <a:blip xmlns:r="http://schemas.openxmlformats.org/officeDocument/2006/relationships" r:embed="rId10"/>
        <a:stretch>
          <a:fillRect/>
        </a:stretch>
      </xdr:blipFill>
      <xdr:spPr>
        <a:xfrm>
          <a:off x="2857500" y="866775"/>
          <a:ext cx="494373" cy="485775"/>
        </a:xfrm>
        <a:prstGeom prst="rect">
          <a:avLst/>
        </a:prstGeom>
      </xdr:spPr>
    </xdr:pic>
    <xdr:clientData/>
  </xdr:twoCellAnchor>
  <xdr:twoCellAnchor editAs="oneCell">
    <xdr:from>
      <xdr:col>12</xdr:col>
      <xdr:colOff>185738</xdr:colOff>
      <xdr:row>0</xdr:row>
      <xdr:rowOff>168166</xdr:rowOff>
    </xdr:from>
    <xdr:to>
      <xdr:col>13</xdr:col>
      <xdr:colOff>114856</xdr:colOff>
      <xdr:row>3</xdr:row>
      <xdr:rowOff>1</xdr:rowOff>
    </xdr:to>
    <xdr:pic>
      <xdr:nvPicPr>
        <xdr:cNvPr id="47" name="Picture 46">
          <a:extLst>
            <a:ext uri="{FF2B5EF4-FFF2-40B4-BE49-F238E27FC236}">
              <a16:creationId xmlns:a16="http://schemas.microsoft.com/office/drawing/2014/main" id="{0EFE3556-AC46-80CD-8F3F-478BEF941504}"/>
            </a:ext>
          </a:extLst>
        </xdr:cNvPr>
        <xdr:cNvPicPr>
          <a:picLocks noChangeAspect="1"/>
        </xdr:cNvPicPr>
      </xdr:nvPicPr>
      <xdr:blipFill>
        <a:blip xmlns:r="http://schemas.openxmlformats.org/officeDocument/2006/relationships" r:embed="rId11"/>
        <a:stretch>
          <a:fillRect/>
        </a:stretch>
      </xdr:blipFill>
      <xdr:spPr>
        <a:xfrm>
          <a:off x="7500938" y="168166"/>
          <a:ext cx="538718" cy="374760"/>
        </a:xfrm>
        <a:prstGeom prst="rect">
          <a:avLst/>
        </a:prstGeom>
      </xdr:spPr>
    </xdr:pic>
    <xdr:clientData/>
  </xdr:twoCellAnchor>
  <xdr:twoCellAnchor editAs="oneCell">
    <xdr:from>
      <xdr:col>15</xdr:col>
      <xdr:colOff>438151</xdr:colOff>
      <xdr:row>1</xdr:row>
      <xdr:rowOff>27820</xdr:rowOff>
    </xdr:from>
    <xdr:to>
      <xdr:col>16</xdr:col>
      <xdr:colOff>400051</xdr:colOff>
      <xdr:row>3</xdr:row>
      <xdr:rowOff>105847</xdr:rowOff>
    </xdr:to>
    <xdr:pic>
      <xdr:nvPicPr>
        <xdr:cNvPr id="48" name="Picture 47">
          <a:extLst>
            <a:ext uri="{FF2B5EF4-FFF2-40B4-BE49-F238E27FC236}">
              <a16:creationId xmlns:a16="http://schemas.microsoft.com/office/drawing/2014/main" id="{303B7396-1383-24B2-B372-5C4702912040}"/>
            </a:ext>
          </a:extLst>
        </xdr:cNvPr>
        <xdr:cNvPicPr>
          <a:picLocks noChangeAspect="1"/>
        </xdr:cNvPicPr>
      </xdr:nvPicPr>
      <xdr:blipFill>
        <a:blip xmlns:r="http://schemas.openxmlformats.org/officeDocument/2006/relationships" r:embed="rId12"/>
        <a:stretch>
          <a:fillRect/>
        </a:stretch>
      </xdr:blipFill>
      <xdr:spPr>
        <a:xfrm>
          <a:off x="9582151" y="208795"/>
          <a:ext cx="571500" cy="4399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22860</xdr:colOff>
      <xdr:row>1</xdr:row>
      <xdr:rowOff>0</xdr:rowOff>
    </xdr:from>
    <xdr:to>
      <xdr:col>16</xdr:col>
      <xdr:colOff>22860</xdr:colOff>
      <xdr:row>11</xdr:row>
      <xdr:rowOff>0</xdr:rowOff>
    </xdr:to>
    <xdr:graphicFrame macro="">
      <xdr:nvGraphicFramePr>
        <xdr:cNvPr id="2" name="Chart 1">
          <a:extLst>
            <a:ext uri="{FF2B5EF4-FFF2-40B4-BE49-F238E27FC236}">
              <a16:creationId xmlns:a16="http://schemas.microsoft.com/office/drawing/2014/main" id="{65278D5A-B7E5-87D2-C800-D0A0E6A4F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12</xdr:row>
      <xdr:rowOff>7620</xdr:rowOff>
    </xdr:from>
    <xdr:to>
      <xdr:col>16</xdr:col>
      <xdr:colOff>45720</xdr:colOff>
      <xdr:row>22</xdr:row>
      <xdr:rowOff>0</xdr:rowOff>
    </xdr:to>
    <xdr:graphicFrame macro="">
      <xdr:nvGraphicFramePr>
        <xdr:cNvPr id="3" name="Chart 2">
          <a:extLst>
            <a:ext uri="{FF2B5EF4-FFF2-40B4-BE49-F238E27FC236}">
              <a16:creationId xmlns:a16="http://schemas.microsoft.com/office/drawing/2014/main" id="{3E1FAA8F-1D54-EF42-6728-BD94E42E4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xdr:colOff>
      <xdr:row>22</xdr:row>
      <xdr:rowOff>152400</xdr:rowOff>
    </xdr:from>
    <xdr:to>
      <xdr:col>16</xdr:col>
      <xdr:colOff>45720</xdr:colOff>
      <xdr:row>32</xdr:row>
      <xdr:rowOff>167640</xdr:rowOff>
    </xdr:to>
    <xdr:graphicFrame macro="">
      <xdr:nvGraphicFramePr>
        <xdr:cNvPr id="4" name="Chart 3">
          <a:extLst>
            <a:ext uri="{FF2B5EF4-FFF2-40B4-BE49-F238E27FC236}">
              <a16:creationId xmlns:a16="http://schemas.microsoft.com/office/drawing/2014/main" id="{4E17517B-3D49-8008-AB5F-3A92F25F6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360679</xdr:colOff>
      <xdr:row>9</xdr:row>
      <xdr:rowOff>134700</xdr:rowOff>
    </xdr:from>
    <xdr:to>
      <xdr:col>6</xdr:col>
      <xdr:colOff>230909</xdr:colOff>
      <xdr:row>28</xdr:row>
      <xdr:rowOff>138544</xdr:rowOff>
    </xdr:to>
    <xdr:graphicFrame macro="">
      <xdr:nvGraphicFramePr>
        <xdr:cNvPr id="2" name="Chart 1">
          <a:extLst>
            <a:ext uri="{FF2B5EF4-FFF2-40B4-BE49-F238E27FC236}">
              <a16:creationId xmlns:a16="http://schemas.microsoft.com/office/drawing/2014/main" id="{46C00951-215A-40CB-9C66-1DE2808B6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174247</xdr:colOff>
      <xdr:row>9</xdr:row>
      <xdr:rowOff>163781</xdr:rowOff>
    </xdr:from>
    <xdr:to>
      <xdr:col>17</xdr:col>
      <xdr:colOff>23091</xdr:colOff>
      <xdr:row>28</xdr:row>
      <xdr:rowOff>103909</xdr:rowOff>
    </xdr:to>
    <xdr:graphicFrame macro="">
      <xdr:nvGraphicFramePr>
        <xdr:cNvPr id="5" name="Chart 4">
          <a:extLst>
            <a:ext uri="{FF2B5EF4-FFF2-40B4-BE49-F238E27FC236}">
              <a16:creationId xmlns:a16="http://schemas.microsoft.com/office/drawing/2014/main" id="{67002D2D-F101-4736-89B2-51ECC84F9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144780</xdr:colOff>
      <xdr:row>0</xdr:row>
      <xdr:rowOff>175260</xdr:rowOff>
    </xdr:from>
    <xdr:to>
      <xdr:col>5</xdr:col>
      <xdr:colOff>967740</xdr:colOff>
      <xdr:row>4</xdr:row>
      <xdr:rowOff>166076</xdr:rowOff>
    </xdr:to>
    <xdr:sp macro="" textlink="">
      <xdr:nvSpPr>
        <xdr:cNvPr id="6" name="Rectangle 5">
          <a:extLst>
            <a:ext uri="{FF2B5EF4-FFF2-40B4-BE49-F238E27FC236}">
              <a16:creationId xmlns:a16="http://schemas.microsoft.com/office/drawing/2014/main" id="{57D2B069-61B5-57DF-DFCC-B9AEB9747F91}"/>
            </a:ext>
          </a:extLst>
        </xdr:cNvPr>
        <xdr:cNvSpPr/>
      </xdr:nvSpPr>
      <xdr:spPr>
        <a:xfrm>
          <a:off x="750472" y="175260"/>
          <a:ext cx="4349653" cy="7332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0</xdr:row>
      <xdr:rowOff>129540</xdr:rowOff>
    </xdr:from>
    <xdr:to>
      <xdr:col>9</xdr:col>
      <xdr:colOff>83820</xdr:colOff>
      <xdr:row>4</xdr:row>
      <xdr:rowOff>152400</xdr:rowOff>
    </xdr:to>
    <xdr:sp macro="" textlink="">
      <xdr:nvSpPr>
        <xdr:cNvPr id="7" name="Rectangle 6">
          <a:extLst>
            <a:ext uri="{FF2B5EF4-FFF2-40B4-BE49-F238E27FC236}">
              <a16:creationId xmlns:a16="http://schemas.microsoft.com/office/drawing/2014/main" id="{C8B8996E-01DB-334E-7F43-A8EFB2B9C421}"/>
            </a:ext>
          </a:extLst>
        </xdr:cNvPr>
        <xdr:cNvSpPr/>
      </xdr:nvSpPr>
      <xdr:spPr>
        <a:xfrm>
          <a:off x="5989320" y="129540"/>
          <a:ext cx="160782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381000</xdr:colOff>
      <xdr:row>0</xdr:row>
      <xdr:rowOff>152400</xdr:rowOff>
    </xdr:from>
    <xdr:to>
      <xdr:col>12</xdr:col>
      <xdr:colOff>160020</xdr:colOff>
      <xdr:row>4</xdr:row>
      <xdr:rowOff>129540</xdr:rowOff>
    </xdr:to>
    <xdr:sp macro="" textlink="">
      <xdr:nvSpPr>
        <xdr:cNvPr id="8" name="Rectangle 7">
          <a:extLst>
            <a:ext uri="{FF2B5EF4-FFF2-40B4-BE49-F238E27FC236}">
              <a16:creationId xmlns:a16="http://schemas.microsoft.com/office/drawing/2014/main" id="{4709D11F-738B-22A9-4C6D-0C2823827053}"/>
            </a:ext>
          </a:extLst>
        </xdr:cNvPr>
        <xdr:cNvSpPr/>
      </xdr:nvSpPr>
      <xdr:spPr>
        <a:xfrm>
          <a:off x="7894320" y="152400"/>
          <a:ext cx="1607820" cy="708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487680</xdr:colOff>
      <xdr:row>1</xdr:row>
      <xdr:rowOff>53340</xdr:rowOff>
    </xdr:from>
    <xdr:to>
      <xdr:col>8</xdr:col>
      <xdr:colOff>426720</xdr:colOff>
      <xdr:row>2</xdr:row>
      <xdr:rowOff>114300</xdr:rowOff>
    </xdr:to>
    <xdr:sp macro="" textlink="'Model 3'!B86">
      <xdr:nvSpPr>
        <xdr:cNvPr id="11" name="TextBox 10">
          <a:extLst>
            <a:ext uri="{FF2B5EF4-FFF2-40B4-BE49-F238E27FC236}">
              <a16:creationId xmlns:a16="http://schemas.microsoft.com/office/drawing/2014/main" id="{761398D9-F49D-169E-74B4-ED8B3EBCF32B}"/>
            </a:ext>
          </a:extLst>
        </xdr:cNvPr>
        <xdr:cNvSpPr txBox="1"/>
      </xdr:nvSpPr>
      <xdr:spPr>
        <a:xfrm>
          <a:off x="6172200" y="236220"/>
          <a:ext cx="1158240" cy="2438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D120F155-F4D8-4141-A56F-4B78D055A43C}" type="TxLink">
            <a:rPr lang="en-US" sz="1400" b="0" i="0" u="none" strike="noStrike">
              <a:solidFill>
                <a:schemeClr val="bg1"/>
              </a:solidFill>
              <a:latin typeface="Calibri"/>
              <a:ea typeface="Calibri"/>
              <a:cs typeface="Calibri"/>
            </a:rPr>
            <a:pPr marL="0" indent="0"/>
            <a:t>0.200304927</a:t>
          </a:fld>
          <a:endParaRPr lang="en-IN" sz="1400" b="0" i="0" u="none" strike="noStrike">
            <a:solidFill>
              <a:schemeClr val="bg1"/>
            </a:solidFill>
            <a:latin typeface="Calibri"/>
            <a:ea typeface="Calibri"/>
            <a:cs typeface="Calibri"/>
          </a:endParaRPr>
        </a:p>
      </xdr:txBody>
    </xdr:sp>
    <xdr:clientData/>
  </xdr:twoCellAnchor>
  <xdr:twoCellAnchor>
    <xdr:from>
      <xdr:col>6</xdr:col>
      <xdr:colOff>480060</xdr:colOff>
      <xdr:row>2</xdr:row>
      <xdr:rowOff>175260</xdr:rowOff>
    </xdr:from>
    <xdr:to>
      <xdr:col>9</xdr:col>
      <xdr:colOff>15240</xdr:colOff>
      <xdr:row>4</xdr:row>
      <xdr:rowOff>22860</xdr:rowOff>
    </xdr:to>
    <xdr:sp macro="" textlink="">
      <xdr:nvSpPr>
        <xdr:cNvPr id="13" name="TextBox 12">
          <a:extLst>
            <a:ext uri="{FF2B5EF4-FFF2-40B4-BE49-F238E27FC236}">
              <a16:creationId xmlns:a16="http://schemas.microsoft.com/office/drawing/2014/main" id="{B4344F37-C414-5AC4-DA89-4EAF03ACDBBA}"/>
            </a:ext>
          </a:extLst>
        </xdr:cNvPr>
        <xdr:cNvSpPr txBox="1"/>
      </xdr:nvSpPr>
      <xdr:spPr>
        <a:xfrm>
          <a:off x="6164580" y="541020"/>
          <a:ext cx="1363980" cy="21336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400" b="1"/>
            <a:t>ADJUSTED R^2</a:t>
          </a:r>
        </a:p>
      </xdr:txBody>
    </xdr:sp>
    <xdr:clientData/>
  </xdr:twoCellAnchor>
  <xdr:twoCellAnchor>
    <xdr:from>
      <xdr:col>9</xdr:col>
      <xdr:colOff>563880</xdr:colOff>
      <xdr:row>1</xdr:row>
      <xdr:rowOff>45720</xdr:rowOff>
    </xdr:from>
    <xdr:to>
      <xdr:col>11</xdr:col>
      <xdr:colOff>502920</xdr:colOff>
      <xdr:row>2</xdr:row>
      <xdr:rowOff>106680</xdr:rowOff>
    </xdr:to>
    <xdr:sp macro="" textlink="Data!AC14">
      <xdr:nvSpPr>
        <xdr:cNvPr id="14" name="TextBox 13">
          <a:extLst>
            <a:ext uri="{FF2B5EF4-FFF2-40B4-BE49-F238E27FC236}">
              <a16:creationId xmlns:a16="http://schemas.microsoft.com/office/drawing/2014/main" id="{FE5124E4-BC34-C0C3-31DD-8CDD09C59E5D}"/>
            </a:ext>
          </a:extLst>
        </xdr:cNvPr>
        <xdr:cNvSpPr txBox="1"/>
      </xdr:nvSpPr>
      <xdr:spPr>
        <a:xfrm>
          <a:off x="8077200" y="228600"/>
          <a:ext cx="1158240" cy="2438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F4ED66C8-E2BD-45E6-923D-B830441D4F08}" type="TxLink">
            <a:rPr lang="en-US" sz="1400" b="0" i="0" u="none" strike="noStrike">
              <a:solidFill>
                <a:schemeClr val="bg1"/>
              </a:solidFill>
              <a:latin typeface="Calibri"/>
              <a:ea typeface="Calibri"/>
              <a:cs typeface="Calibri"/>
            </a:rPr>
            <a:pPr marL="0" indent="0"/>
            <a:t>4.607921036</a:t>
          </a:fld>
          <a:endParaRPr lang="en-IN" sz="1400" b="0" i="0" u="none" strike="noStrike">
            <a:solidFill>
              <a:schemeClr val="bg1"/>
            </a:solidFill>
            <a:latin typeface="Calibri"/>
            <a:ea typeface="Calibri"/>
            <a:cs typeface="Calibri"/>
          </a:endParaRPr>
        </a:p>
      </xdr:txBody>
    </xdr:sp>
    <xdr:clientData/>
  </xdr:twoCellAnchor>
  <xdr:twoCellAnchor>
    <xdr:from>
      <xdr:col>9</xdr:col>
      <xdr:colOff>464820</xdr:colOff>
      <xdr:row>2</xdr:row>
      <xdr:rowOff>152400</xdr:rowOff>
    </xdr:from>
    <xdr:to>
      <xdr:col>12</xdr:col>
      <xdr:colOff>0</xdr:colOff>
      <xdr:row>4</xdr:row>
      <xdr:rowOff>0</xdr:rowOff>
    </xdr:to>
    <xdr:sp macro="" textlink="">
      <xdr:nvSpPr>
        <xdr:cNvPr id="15" name="TextBox 14">
          <a:extLst>
            <a:ext uri="{FF2B5EF4-FFF2-40B4-BE49-F238E27FC236}">
              <a16:creationId xmlns:a16="http://schemas.microsoft.com/office/drawing/2014/main" id="{E99100D5-4D35-59E3-BFF8-24F7EC166DEF}"/>
            </a:ext>
          </a:extLst>
        </xdr:cNvPr>
        <xdr:cNvSpPr txBox="1"/>
      </xdr:nvSpPr>
      <xdr:spPr>
        <a:xfrm>
          <a:off x="7978140" y="518160"/>
          <a:ext cx="1363980" cy="21336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100" b="1" i="0" u="none" strike="noStrike">
              <a:solidFill>
                <a:schemeClr val="lt1"/>
              </a:solidFill>
              <a:effectLst/>
              <a:latin typeface="+mn-lt"/>
              <a:ea typeface="+mn-ea"/>
              <a:cs typeface="+mn-cs"/>
            </a:rPr>
            <a:t>AVG INTEREST RATE</a:t>
          </a:r>
          <a:r>
            <a:rPr lang="en-IN" sz="1400" b="1">
              <a:effectLst/>
            </a:rPr>
            <a:t> </a:t>
          </a:r>
          <a:endParaRPr lang="en-IN" sz="1400" b="1"/>
        </a:p>
      </xdr:txBody>
    </xdr:sp>
    <xdr:clientData/>
  </xdr:twoCellAnchor>
  <xdr:twoCellAnchor>
    <xdr:from>
      <xdr:col>1</xdr:col>
      <xdr:colOff>332154</xdr:colOff>
      <xdr:row>1</xdr:row>
      <xdr:rowOff>166077</xdr:rowOff>
    </xdr:from>
    <xdr:to>
      <xdr:col>5</xdr:col>
      <xdr:colOff>771768</xdr:colOff>
      <xdr:row>3</xdr:row>
      <xdr:rowOff>175846</xdr:rowOff>
    </xdr:to>
    <xdr:sp macro="" textlink="">
      <xdr:nvSpPr>
        <xdr:cNvPr id="16" name="TextBox 15">
          <a:extLst>
            <a:ext uri="{FF2B5EF4-FFF2-40B4-BE49-F238E27FC236}">
              <a16:creationId xmlns:a16="http://schemas.microsoft.com/office/drawing/2014/main" id="{67F46D85-BA5A-B510-2695-FD1D1E5514F5}"/>
            </a:ext>
          </a:extLst>
        </xdr:cNvPr>
        <xdr:cNvSpPr txBox="1"/>
      </xdr:nvSpPr>
      <xdr:spPr>
        <a:xfrm>
          <a:off x="937846" y="351692"/>
          <a:ext cx="3966307" cy="381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2000" b="1"/>
            <a:t>Interest Rate Regression Model</a:t>
          </a:r>
        </a:p>
      </xdr:txBody>
    </xdr:sp>
    <xdr:clientData/>
  </xdr:twoCellAnchor>
  <xdr:twoCellAnchor>
    <xdr:from>
      <xdr:col>4</xdr:col>
      <xdr:colOff>0</xdr:colOff>
      <xdr:row>30</xdr:row>
      <xdr:rowOff>115455</xdr:rowOff>
    </xdr:from>
    <xdr:to>
      <xdr:col>10</xdr:col>
      <xdr:colOff>496455</xdr:colOff>
      <xdr:row>45</xdr:row>
      <xdr:rowOff>157018</xdr:rowOff>
    </xdr:to>
    <xdr:graphicFrame macro="">
      <xdr:nvGraphicFramePr>
        <xdr:cNvPr id="17" name="Chart 16">
          <a:extLst>
            <a:ext uri="{FF2B5EF4-FFF2-40B4-BE49-F238E27FC236}">
              <a16:creationId xmlns:a16="http://schemas.microsoft.com/office/drawing/2014/main" id="{C1FE4EBE-1D38-413D-8F07-338A6CB0E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ka" refreshedDate="46292.664873263886" createdVersion="8" refreshedVersion="8" minRefreshableVersion="3" recordCount="500" xr:uid="{DAEB81F5-806D-46AA-B923-FA9C15CE7CB0}">
  <cacheSource type="worksheet">
    <worksheetSource ref="A7:T507" sheet="Data"/>
  </cacheSource>
  <cacheFields count="20">
    <cacheField name="Borrower ID Number" numFmtId="0">
      <sharedItems containsSemiMixedTypes="0" containsString="0" containsNumber="1" containsInteger="1" minValue="1" maxValue="500"/>
    </cacheField>
    <cacheField name="Wide Area Location Code" numFmtId="0">
      <sharedItems containsSemiMixedTypes="0" containsString="0" containsNumber="1" containsInteger="1" minValue="1" maxValue="55" count="47">
        <n v="53"/>
        <n v="6"/>
        <n v="34"/>
        <n v="51"/>
        <n v="39"/>
        <n v="24"/>
        <n v="8"/>
        <n v="36"/>
        <n v="48"/>
        <n v="25"/>
        <n v="26"/>
        <n v="13"/>
        <n v="49"/>
        <n v="27"/>
        <n v="5"/>
        <n v="41"/>
        <n v="44"/>
        <n v="29"/>
        <n v="4"/>
        <n v="17"/>
        <n v="9"/>
        <n v="31"/>
        <n v="55"/>
        <n v="47"/>
        <n v="45"/>
        <n v="30"/>
        <n v="12"/>
        <n v="42"/>
        <n v="37"/>
        <n v="20"/>
        <n v="50"/>
        <n v="1"/>
        <n v="19"/>
        <n v="40"/>
        <n v="21"/>
        <n v="18"/>
        <n v="46"/>
        <n v="22"/>
        <n v="35"/>
        <n v="38"/>
        <n v="32"/>
        <n v="16"/>
        <n v="10"/>
        <n v="28"/>
        <n v="23"/>
        <n v="2"/>
        <n v="15"/>
      </sharedItems>
    </cacheField>
    <cacheField name="% Minority in Local Area" numFmtId="0">
      <sharedItems containsSemiMixedTypes="0" containsString="0" containsNumber="1" minValue="1.49" maxValue="98.95"/>
    </cacheField>
    <cacheField name="Median Family Income in Local Area" numFmtId="0">
      <sharedItems containsSemiMixedTypes="0" containsString="0" containsNumber="1" containsInteger="1" minValue="52300" maxValue="139800"/>
    </cacheField>
    <cacheField name="Borrower Annual Income" numFmtId="0">
      <sharedItems containsSemiMixedTypes="0" containsString="0" containsNumber="1" containsInteger="1" minValue="18000" maxValue="1560000"/>
    </cacheField>
    <cacheField name="First Time Buyer? (1=Yes, 0=No)" numFmtId="0">
      <sharedItems containsSemiMixedTypes="0" containsString="0" containsNumber="1" containsInteger="1" minValue="0" maxValue="1"/>
    </cacheField>
    <cacheField name="Age of Borrower" numFmtId="0">
      <sharedItems/>
    </cacheField>
    <cacheField name="Appraised Value of Home" numFmtId="0">
      <sharedItems containsSemiMixedTypes="0" containsString="0" containsNumber="1" containsInteger="1" minValue="35000" maxValue="1915000"/>
    </cacheField>
    <cacheField name="Amount Borrowed" numFmtId="0">
      <sharedItems containsSemiMixedTypes="0" containsString="0" containsNumber="1" containsInteger="1" minValue="25000" maxValue="765000"/>
    </cacheField>
    <cacheField name="Length of Mortgage in Months" numFmtId="0">
      <sharedItems containsSemiMixedTypes="0" containsString="0" containsNumber="1" containsInteger="1" minValue="120" maxValue="360"/>
    </cacheField>
    <cacheField name="Minority range" numFmtId="0">
      <sharedItems count="6">
        <s v="20-30"/>
        <s v="More than 50"/>
        <s v="30-40"/>
        <s v="10-20"/>
        <s v="40-50"/>
        <s v="0-10"/>
      </sharedItems>
    </cacheField>
    <cacheField name="LTV" numFmtId="2">
      <sharedItems containsSemiMixedTypes="0" containsString="0" containsNumber="1" minValue="10.76923076923077" maxValue="100" count="339">
        <n v="50.649350649350644"/>
        <n v="94.392523364485982"/>
        <n v="28.000000000000004"/>
        <n v="51.879699248120303"/>
        <n v="80.246913580246911"/>
        <n v="71.270718232044189"/>
        <n v="83.15789473684211"/>
        <n v="58.490566037735846"/>
        <n v="40.659340659340657"/>
        <n v="66.355140186915889"/>
        <n v="77.215189873417728"/>
        <n v="78.494623655913969"/>
        <n v="50.993377483443716"/>
        <n v="76.146788990825684"/>
        <n v="80.104712041884824"/>
        <n v="45.454545454545453"/>
        <n v="66.400000000000006"/>
        <n v="56.862745098039213"/>
        <n v="79.831932773109244"/>
        <n v="66.88741721854305"/>
        <n v="72.093023255813947"/>
        <n v="77.049180327868854"/>
        <n v="78.761061946902657"/>
        <n v="74.436090225563916"/>
        <n v="78.378378378378372"/>
        <n v="79.66101694915254"/>
        <n v="21.212121212121211"/>
        <n v="92.592592592592595"/>
        <n v="70.491803278688522"/>
        <n v="72.027972027972027"/>
        <n v="90.476190476190482"/>
        <n v="92"/>
        <n v="80.327868852459019"/>
        <n v="60.493827160493829"/>
        <n v="79.130434782608688"/>
        <n v="79.487179487179489"/>
        <n v="77.528089887640448"/>
        <n v="89.473684210526315"/>
        <n v="70.370370370370367"/>
        <n v="56.521739130434781"/>
        <n v="82.608695652173907"/>
        <n v="52"/>
        <n v="74.358974358974365"/>
        <n v="73.770491803278688"/>
        <n v="66.315789473684205"/>
        <n v="80.392156862745097"/>
        <n v="57.377049180327866"/>
        <n v="94.029850746268664"/>
        <n v="91.780821917808225"/>
        <n v="85.91549295774648"/>
        <n v="72.41379310344827"/>
        <n v="55.339805825242713"/>
        <n v="80.219780219780219"/>
        <n v="86.885245901639337"/>
        <n v="53.271028037383175"/>
        <n v="49.333333333333336"/>
        <n v="71.428571428571431"/>
        <n v="74.468085106382972"/>
        <n v="73.134328358208961"/>
        <n v="60.62176165803109"/>
        <n v="64.705882352941174"/>
        <n v="86.666666666666671"/>
        <n v="74.683544303797461"/>
        <n v="71.014492753623188"/>
        <n v="74.803149606299215"/>
        <n v="78.082191780821915"/>
        <n v="63.636363636363633"/>
        <n v="64.071856287425149"/>
        <n v="70.909090909090907"/>
        <n v="57.225433526011557"/>
        <n v="58.865248226950349"/>
        <n v="84.158415841584159"/>
        <n v="72.151898734177209"/>
        <n v="65.269461077844312"/>
        <n v="68.831168831168839"/>
        <n v="50.785340314136128"/>
        <n v="52.112676056338024"/>
        <n v="40.206185567010309"/>
        <n v="78.181818181818187"/>
        <n v="85.454545454545453"/>
        <n v="77.777777777777786"/>
        <n v="50.753768844221106"/>
        <n v="62.711864406779661"/>
        <n v="81.333333333333329"/>
        <n v="68.421052631578945"/>
        <n v="53.642384105960261"/>
        <n v="88.764044943820224"/>
        <n v="70.114942528735639"/>
        <n v="67.058823529411754"/>
        <n v="26.760563380281688"/>
        <n v="74.257425742574256"/>
        <n v="96.078431372549019"/>
        <n v="61.29032258064516"/>
        <n v="34.42622950819672"/>
        <n v="44.723618090452263"/>
        <n v="72.277227722772281"/>
        <n v="78.94736842105263"/>
        <n v="78.723404255319153"/>
        <n v="71.084337349397586"/>
        <n v="82.456140350877192"/>
        <n v="82.089552238805979"/>
        <n v="63.934426229508205"/>
        <n v="77.952755905511808"/>
        <n v="34.470989761092156"/>
        <n v="80.952380952380949"/>
        <n v="70.992366412213741"/>
        <n v="64.444444444444443"/>
        <n v="81.132075471698116"/>
        <n v="77.391304347826079"/>
        <n v="68.674698795180717"/>
        <n v="31.46853146853147"/>
        <n v="92.156862745098039"/>
        <n v="80.487804878048792"/>
        <n v="90.163934426229503"/>
        <n v="72.307692307692307"/>
        <n v="78.82352941176471"/>
        <n v="73.033707865168537"/>
        <n v="55.905511811023622"/>
        <n v="79.797979797979806"/>
        <n v="38.461538461538467"/>
        <n v="79.310344827586206"/>
        <n v="70.642201834862391"/>
        <n v="87.654320987654316"/>
        <n v="45.945945945945951"/>
        <n v="54.455445544554458"/>
        <n v="67.832167832167841"/>
        <n v="55.371900826446286"/>
        <n v="58.762886597938149"/>
        <n v="51.724137931034484"/>
        <n v="19.254658385093169"/>
        <n v="72.815533980582529"/>
        <n v="49.677419354838712"/>
        <n v="70.212765957446805"/>
        <n v="52.72727272727272"/>
        <n v="94.871794871794862"/>
        <n v="62.264150943396224"/>
        <n v="60.629921259842526"/>
        <n v="46.564885496183209"/>
        <n v="70.731707317073173"/>
        <n v="65.079365079365076"/>
        <n v="31.606217616580313"/>
        <n v="57.2139303482587"/>
        <n v="58.441558441558442"/>
        <n v="79.710144927536234"/>
        <n v="41.436464088397791"/>
        <n v="57.446808510638306"/>
        <n v="95.180722891566262"/>
        <n v="79.104477611940297"/>
        <n v="94.666666666666671"/>
        <n v="73.333333333333329"/>
        <n v="69.072164948453604"/>
        <n v="74.603174603174608"/>
        <n v="66.451612903225808"/>
        <n v="56.8"/>
        <n v="67.088607594936718"/>
        <n v="48.936170212765958"/>
        <n v="34.640522875816991"/>
        <n v="54.385964912280706"/>
        <n v="69.811320754716974"/>
        <n v="75.384615384615387"/>
        <n v="47.107438016528924"/>
        <n v="54.716981132075468"/>
        <n v="93.442622950819683"/>
        <n v="53.153153153153156"/>
        <n v="78.461538461538467"/>
        <n v="74.193548387096769"/>
        <n v="42.690058479532162"/>
        <n v="56.09756097560976"/>
        <n v="69.230769230769226"/>
        <n v="77.011494252873561"/>
        <n v="43.19526627218935"/>
        <n v="73.584905660377359"/>
        <n v="68"/>
        <n v="94.059405940594047"/>
        <n v="65.517241379310349"/>
        <n v="72.881355932203391"/>
        <n v="63.451776649746193"/>
        <n v="67.567567567567565"/>
        <n v="70.078740157480311"/>
        <n v="82.978723404255319"/>
        <n v="66.917293233082702"/>
        <n v="100"/>
        <n v="52.317880794701985"/>
        <n v="73.509933774834437"/>
        <n v="94.20289855072464"/>
        <n v="69.655172413793096"/>
        <n v="51.243781094527364"/>
        <n v="65.289256198347118"/>
        <n v="37.336814621409921"/>
        <n v="58.208955223880601"/>
        <n v="62.318840579710141"/>
        <n v="51.401869158878498"/>
        <n v="28.421052631578945"/>
        <n v="39.130434782608695"/>
        <n v="90.839694656488547"/>
        <n v="84.615384615384613"/>
        <n v="95.121951219512198"/>
        <n v="84"/>
        <n v="68.361581920903959"/>
        <n v="86.516853932584269"/>
        <n v="66.037735849056602"/>
        <n v="92.452830188679243"/>
        <n v="24.840764331210192"/>
        <n v="54.098360655737707"/>
        <n v="69.863013698630141"/>
        <n v="79.43925233644859"/>
        <n v="90.804597701149419"/>
        <n v="63.380281690140848"/>
        <n v="71.851851851851862"/>
        <n v="87.096774193548384"/>
        <n v="11.111111111111111"/>
        <n v="34.219269102990033"/>
        <n v="74.545454545454547"/>
        <n v="89.830508474576277"/>
        <n v="46.206896551724135"/>
        <n v="80.132450331125824"/>
        <n v="36.585365853658537"/>
        <n v="74.774774774774784"/>
        <n v="94.285714285714278"/>
        <n v="84.905660377358487"/>
        <n v="51.648351648351657"/>
        <n v="87.2340425531915"/>
        <n v="65.957446808510639"/>
        <n v="60.655737704918032"/>
        <n v="88.235294117647058"/>
        <n v="93.548387096774192"/>
        <n v="86.813186813186817"/>
        <n v="59.183673469387756"/>
        <n v="47.826086956521742"/>
        <n v="93.103448275862064"/>
        <n v="69.014084507042256"/>
        <n v="77.142857142857153"/>
        <n v="73.643410852713174"/>
        <n v="83.050847457627114"/>
        <n v="89.189189189189193"/>
        <n v="78.313253012048193"/>
        <n v="95.744680851063833"/>
        <n v="77.464788732394368"/>
        <n v="48.672566371681413"/>
        <n v="47.692307692307693"/>
        <n v="85.507246376811594"/>
        <n v="49.514563106796118"/>
        <n v="85.321100917431195"/>
        <n v="10.76923076923077"/>
        <n v="65.853658536585371"/>
        <n v="73.205741626794264"/>
        <n v="89.87341772151899"/>
        <n v="38.181818181818187"/>
        <n v="87.301587301587304"/>
        <n v="50.769230769230766"/>
        <n v="46.938775510204081"/>
        <n v="56.756756756756758"/>
        <n v="34.693877551020407"/>
        <n v="94.366197183098592"/>
        <n v="60.439560439560438"/>
        <n v="80.419580419580413"/>
        <n v="37.404580152671755"/>
        <n v="57.894736842105267"/>
        <n v="76.119402985074629"/>
        <n v="32.087227414330215"/>
        <n v="79.2"/>
        <n v="57.798165137614674"/>
        <n v="85.18518518518519"/>
        <n v="56.424581005586596"/>
        <n v="91.489361702127653"/>
        <n v="79.591836734693871"/>
        <n v="80.198019801980209"/>
        <n v="47.368421052631575"/>
        <n v="76"/>
        <n v="75.280898876404493"/>
        <n v="80.645161290322577"/>
        <n v="75.342465753424662"/>
        <n v="68.539325842696627"/>
        <n v="64.96350364963503"/>
        <n v="54.929577464788736"/>
        <n v="55.67567567567567"/>
        <n v="81.818181818181827"/>
        <n v="60.248447204968947"/>
        <n v="48.387096774193552"/>
        <n v="52.941176470588239"/>
        <n v="68.627450980392155"/>
        <n v="32.510288065843625"/>
        <n v="63.975155279503106"/>
        <n v="69.892473118279568"/>
        <n v="59.064327485380119"/>
        <n v="76.744186046511629"/>
        <n v="43.39622641509434"/>
        <n v="72.8"/>
        <n v="62.352941176470587"/>
        <n v="44.588744588744589"/>
        <n v="71.974522292993626"/>
        <n v="69.696969696969703"/>
        <n v="93.939393939393938"/>
        <n v="83.098591549295776"/>
        <n v="79.220779220779221"/>
        <n v="61.643835616438359"/>
        <n v="76.811594202898547"/>
        <n v="42.857142857142854"/>
        <n v="88.405797101449281"/>
        <n v="46.835443037974684"/>
        <n v="72.602739726027394"/>
        <n v="60"/>
        <n v="60.784313725490193"/>
        <n v="63.503649635036496"/>
        <n v="51.778656126482211"/>
        <n v="77.181208053691279"/>
        <n v="74.311926605504581"/>
        <n v="48.031496062992126"/>
        <n v="31.707317073170731"/>
        <n v="44.347826086956523"/>
        <n v="75.609756097560975"/>
        <n v="78.294573643410843"/>
        <n v="96.92307692307692"/>
        <n v="90.697674418604649"/>
        <n v="76.271186440677965"/>
        <n v="71.764705882352942"/>
        <n v="79.84496124031007"/>
        <n v="50.173010380622841"/>
        <n v="79.74683544303798"/>
        <n v="82.068965517241381"/>
        <n v="49.253731343283583"/>
        <n v="83.673469387755105"/>
        <n v="75.510204081632651"/>
        <n v="14.027149321266968"/>
        <n v="55.725190839694662"/>
        <n v="42.281879194630875"/>
        <n v="68.944099378881987"/>
        <n v="52.569169960474305"/>
        <n v="70.247933884297524"/>
        <n v="46.236559139784944"/>
        <n v="37.06293706293706"/>
        <n v="80.281690140845072"/>
        <n v="60.330578512396691"/>
        <n v="79.084967320261441"/>
        <n v="22.137404580152673"/>
        <n v="43.15789473684211"/>
        <n v="70.09345794392523"/>
        <n v="74.117647058823536"/>
        <n v="44.61538461538462"/>
      </sharedItems>
    </cacheField>
    <cacheField name="Silver pool target borrowers" numFmtId="0">
      <sharedItems count="2">
        <s v="not selected"/>
        <s v="selected"/>
      </sharedItems>
    </cacheField>
    <cacheField name="Golden pool target borrowers" numFmtId="0">
      <sharedItems count="2">
        <s v="not selected"/>
        <s v="selected"/>
      </sharedItems>
    </cacheField>
    <cacheField name="LTV2" numFmtId="0">
      <sharedItems containsSemiMixedTypes="0" containsString="0" containsNumber="1" minValue="10.76923076923077" maxValue="100"/>
    </cacheField>
    <cacheField name="DTI" numFmtId="0">
      <sharedItems containsSemiMixedTypes="0" containsString="0" containsNumber="1" minValue="2" maxValue="65"/>
    </cacheField>
    <cacheField name="Length of Mortgage in Months2" numFmtId="0">
      <sharedItems containsSemiMixedTypes="0" containsString="0" containsNumber="1" containsInteger="1" minValue="120" maxValue="360"/>
    </cacheField>
    <cacheField name="First Time Buyer? (1=Yes, 0=No)2" numFmtId="0">
      <sharedItems containsSemiMixedTypes="0" containsString="0" containsNumber="1" containsInteger="1" minValue="0" maxValue="1"/>
    </cacheField>
    <cacheField name="Interest rate " numFmtId="0">
      <sharedItems containsSemiMixedTypes="0" containsString="0" containsNumber="1" minValue="2.9225727806111141" maxValue="6.3313891262751074"/>
    </cacheField>
    <cacheField name="LTV greater than or less than 80% status" numFmtId="0">
      <sharedItems count="2">
        <s v="Less than 80%"/>
        <s v="More than 80%"/>
      </sharedItems>
    </cacheField>
  </cacheFields>
  <extLst>
    <ext xmlns:x14="http://schemas.microsoft.com/office/spreadsheetml/2009/9/main" uri="{725AE2AE-9491-48be-B2B4-4EB974FC3084}">
      <x14:pivotCacheDefinition pivotCacheId="1955826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29.57"/>
    <n v="91700"/>
    <n v="123000"/>
    <n v="0"/>
    <s v="&lt; 25"/>
    <n v="385000"/>
    <n v="195000"/>
    <n v="360"/>
    <x v="0"/>
    <x v="0"/>
    <x v="0"/>
    <x v="0"/>
    <n v="50.649350649350602"/>
    <n v="27"/>
    <n v="360"/>
    <n v="0"/>
    <n v="3.97710830680133"/>
    <x v="0"/>
  </r>
  <r>
    <n v="2"/>
    <x v="1"/>
    <n v="90.76"/>
    <n v="83300"/>
    <n v="250000"/>
    <n v="0"/>
    <s v="&lt; 25"/>
    <n v="535000"/>
    <n v="505000"/>
    <n v="360"/>
    <x v="1"/>
    <x v="1"/>
    <x v="0"/>
    <x v="0"/>
    <n v="94.392523364485982"/>
    <n v="17"/>
    <n v="360"/>
    <n v="0"/>
    <n v="4.2665573473331158"/>
    <x v="1"/>
  </r>
  <r>
    <n v="3"/>
    <x v="2"/>
    <n v="64.19"/>
    <n v="96500"/>
    <n v="64000"/>
    <n v="0"/>
    <s v="&lt; 25"/>
    <n v="375000"/>
    <n v="105000"/>
    <n v="180"/>
    <x v="1"/>
    <x v="2"/>
    <x v="1"/>
    <x v="0"/>
    <n v="28.000000000000004"/>
    <n v="16"/>
    <n v="180"/>
    <n v="0"/>
    <n v="4.5476992869435744"/>
    <x v="0"/>
  </r>
  <r>
    <n v="4"/>
    <x v="3"/>
    <n v="34.58"/>
    <n v="124900"/>
    <n v="141000"/>
    <n v="0"/>
    <s v="&lt; 25"/>
    <n v="665000"/>
    <n v="345000"/>
    <n v="180"/>
    <x v="2"/>
    <x v="3"/>
    <x v="1"/>
    <x v="0"/>
    <n v="51.879699248120303"/>
    <n v="14"/>
    <n v="180"/>
    <n v="0"/>
    <n v="4.5634247892997601"/>
    <x v="0"/>
  </r>
  <r>
    <n v="5"/>
    <x v="4"/>
    <n v="17.93"/>
    <n v="84600"/>
    <n v="109000"/>
    <n v="1"/>
    <s v="&lt; 25"/>
    <n v="405000"/>
    <n v="325000"/>
    <n v="180"/>
    <x v="3"/>
    <x v="4"/>
    <x v="0"/>
    <x v="0"/>
    <n v="80.246913580246911"/>
    <n v="18"/>
    <n v="180"/>
    <n v="1"/>
    <n v="4.1439777595261136"/>
    <x v="1"/>
  </r>
  <r>
    <n v="6"/>
    <x v="5"/>
    <n v="29.18"/>
    <n v="124900"/>
    <n v="255000"/>
    <n v="0"/>
    <s v="&lt; 25"/>
    <n v="905000"/>
    <n v="645000"/>
    <n v="360"/>
    <x v="0"/>
    <x v="5"/>
    <x v="0"/>
    <x v="1"/>
    <n v="71.270718232044189"/>
    <n v="40"/>
    <n v="360"/>
    <n v="0"/>
    <n v="3.9138775192013733"/>
    <x v="0"/>
  </r>
  <r>
    <n v="7"/>
    <x v="6"/>
    <n v="81.63"/>
    <n v="100000"/>
    <n v="145000"/>
    <n v="1"/>
    <s v="&lt; 25"/>
    <n v="475000"/>
    <n v="395000"/>
    <n v="180"/>
    <x v="1"/>
    <x v="6"/>
    <x v="0"/>
    <x v="0"/>
    <n v="83.15789473684211"/>
    <n v="21"/>
    <n v="180"/>
    <n v="1"/>
    <n v="3.6143409898154979"/>
    <x v="1"/>
  </r>
  <r>
    <n v="8"/>
    <x v="0"/>
    <n v="39.06"/>
    <n v="74600"/>
    <n v="392000"/>
    <n v="0"/>
    <s v="&lt; 25"/>
    <n v="265000"/>
    <n v="155000"/>
    <n v="360"/>
    <x v="2"/>
    <x v="7"/>
    <x v="0"/>
    <x v="1"/>
    <n v="58.490566037735846"/>
    <n v="20"/>
    <n v="360"/>
    <n v="0"/>
    <n v="4.8330735984263438"/>
    <x v="0"/>
  </r>
  <r>
    <n v="9"/>
    <x v="7"/>
    <n v="98.09"/>
    <n v="96500"/>
    <n v="58000"/>
    <n v="0"/>
    <s v="&lt; 25"/>
    <n v="455000"/>
    <n v="185000"/>
    <n v="180"/>
    <x v="1"/>
    <x v="8"/>
    <x v="1"/>
    <x v="0"/>
    <n v="40.659340659340657"/>
    <n v="38"/>
    <n v="180"/>
    <n v="0"/>
    <n v="4.3186403811677989"/>
    <x v="0"/>
  </r>
  <r>
    <n v="10"/>
    <x v="8"/>
    <n v="41.47"/>
    <n v="80000"/>
    <n v="170000"/>
    <n v="0"/>
    <s v="&lt; 25"/>
    <n v="535000"/>
    <n v="355000"/>
    <n v="180"/>
    <x v="4"/>
    <x v="9"/>
    <x v="1"/>
    <x v="0"/>
    <n v="66.355140186915889"/>
    <n v="27"/>
    <n v="180"/>
    <n v="0"/>
    <n v="4.4012412281791891"/>
    <x v="0"/>
  </r>
  <r>
    <n v="11"/>
    <x v="2"/>
    <n v="40.18"/>
    <n v="96500"/>
    <n v="182000"/>
    <n v="0"/>
    <s v="&lt; 25"/>
    <n v="395000"/>
    <n v="305000"/>
    <n v="180"/>
    <x v="4"/>
    <x v="10"/>
    <x v="1"/>
    <x v="0"/>
    <n v="77.215189873417728"/>
    <n v="19"/>
    <n v="180"/>
    <n v="0"/>
    <n v="4.4200982226490666"/>
    <x v="0"/>
  </r>
  <r>
    <n v="12"/>
    <x v="9"/>
    <n v="41.27"/>
    <n v="114000"/>
    <n v="64000"/>
    <n v="0"/>
    <s v="&lt; 25"/>
    <n v="465000"/>
    <n v="365000"/>
    <n v="360"/>
    <x v="4"/>
    <x v="11"/>
    <x v="0"/>
    <x v="0"/>
    <n v="78.494623655913969"/>
    <n v="18"/>
    <n v="360"/>
    <n v="0"/>
    <n v="4.3858392178085222"/>
    <x v="0"/>
  </r>
  <r>
    <n v="13"/>
    <x v="1"/>
    <n v="84.75"/>
    <n v="127900"/>
    <n v="88000"/>
    <n v="0"/>
    <s v="&lt; 25"/>
    <n v="755000"/>
    <n v="385000"/>
    <n v="360"/>
    <x v="1"/>
    <x v="12"/>
    <x v="0"/>
    <x v="0"/>
    <n v="50.993377483443716"/>
    <n v="38"/>
    <n v="360"/>
    <n v="0"/>
    <n v="4.7420221242895124"/>
    <x v="0"/>
  </r>
  <r>
    <n v="14"/>
    <x v="10"/>
    <n v="33.01"/>
    <n v="79700"/>
    <n v="593000"/>
    <n v="0"/>
    <s v="&lt; 25"/>
    <n v="545000"/>
    <n v="415000"/>
    <n v="360"/>
    <x v="2"/>
    <x v="13"/>
    <x v="0"/>
    <x v="1"/>
    <n v="76.146788990825684"/>
    <n v="19"/>
    <n v="360"/>
    <n v="0"/>
    <n v="4.919248671961947"/>
    <x v="0"/>
  </r>
  <r>
    <n v="15"/>
    <x v="1"/>
    <n v="34.799999999999997"/>
    <n v="127900"/>
    <n v="297000"/>
    <n v="0"/>
    <s v="&lt; 25"/>
    <n v="955000"/>
    <n v="765000"/>
    <n v="360"/>
    <x v="2"/>
    <x v="14"/>
    <x v="0"/>
    <x v="0"/>
    <n v="80.104712041884824"/>
    <n v="23"/>
    <n v="360"/>
    <n v="0"/>
    <n v="4.851403347298084"/>
    <x v="1"/>
  </r>
  <r>
    <n v="16"/>
    <x v="5"/>
    <n v="67.430000000000007"/>
    <n v="104000"/>
    <n v="204000"/>
    <n v="0"/>
    <s v="&lt; 25"/>
    <n v="385000"/>
    <n v="175000"/>
    <n v="180"/>
    <x v="1"/>
    <x v="15"/>
    <x v="1"/>
    <x v="0"/>
    <n v="45.454545454545453"/>
    <n v="45"/>
    <n v="180"/>
    <n v="0"/>
    <n v="4.1906857199318317"/>
    <x v="0"/>
  </r>
  <r>
    <n v="17"/>
    <x v="1"/>
    <n v="33.31"/>
    <n v="86700"/>
    <n v="214000"/>
    <n v="0"/>
    <s v="&lt; 25"/>
    <n v="625000"/>
    <n v="415000"/>
    <n v="180"/>
    <x v="2"/>
    <x v="16"/>
    <x v="1"/>
    <x v="0"/>
    <n v="66.400000000000006"/>
    <n v="28"/>
    <n v="180"/>
    <n v="0"/>
    <n v="3.8603923074642967"/>
    <x v="0"/>
  </r>
  <r>
    <n v="18"/>
    <x v="11"/>
    <n v="53.46"/>
    <n v="52400"/>
    <n v="76000"/>
    <n v="0"/>
    <s v="&lt; 25"/>
    <n v="255000"/>
    <n v="145000"/>
    <n v="180"/>
    <x v="1"/>
    <x v="17"/>
    <x v="1"/>
    <x v="0"/>
    <n v="56.862745098039213"/>
    <n v="27"/>
    <n v="180"/>
    <n v="0"/>
    <n v="4.335085452342172"/>
    <x v="0"/>
  </r>
  <r>
    <n v="19"/>
    <x v="5"/>
    <n v="90.4"/>
    <n v="124900"/>
    <n v="287000"/>
    <n v="0"/>
    <s v="&lt; 25"/>
    <n v="595000"/>
    <n v="475000"/>
    <n v="360"/>
    <x v="1"/>
    <x v="18"/>
    <x v="0"/>
    <x v="1"/>
    <n v="79.831932773109244"/>
    <n v="29"/>
    <n v="360"/>
    <n v="0"/>
    <n v="4.065225638652187"/>
    <x v="0"/>
  </r>
  <r>
    <n v="20"/>
    <x v="1"/>
    <n v="65.52"/>
    <n v="75000"/>
    <n v="352000"/>
    <n v="0"/>
    <s v="&lt; 25"/>
    <n v="755000"/>
    <n v="505000"/>
    <n v="360"/>
    <x v="1"/>
    <x v="19"/>
    <x v="0"/>
    <x v="1"/>
    <n v="66.88741721854305"/>
    <n v="15"/>
    <n v="360"/>
    <n v="0"/>
    <n v="4.2688484576273513"/>
    <x v="0"/>
  </r>
  <r>
    <n v="21"/>
    <x v="8"/>
    <n v="30.74"/>
    <n v="84800"/>
    <n v="229000"/>
    <n v="0"/>
    <s v="&lt; 25"/>
    <n v="215000"/>
    <n v="155000"/>
    <n v="360"/>
    <x v="2"/>
    <x v="20"/>
    <x v="0"/>
    <x v="1"/>
    <n v="72.093023255813947"/>
    <n v="43"/>
    <n v="360"/>
    <n v="0"/>
    <n v="4.2914308925151268"/>
    <x v="0"/>
  </r>
  <r>
    <n v="22"/>
    <x v="12"/>
    <n v="20.03"/>
    <n v="85300"/>
    <n v="93000"/>
    <n v="0"/>
    <s v="&lt; 25"/>
    <n v="305000"/>
    <n v="235000"/>
    <n v="360"/>
    <x v="0"/>
    <x v="21"/>
    <x v="0"/>
    <x v="0"/>
    <n v="77.049180327868854"/>
    <n v="29"/>
    <n v="360"/>
    <n v="0"/>
    <n v="4.3854445445538577"/>
    <x v="0"/>
  </r>
  <r>
    <n v="23"/>
    <x v="0"/>
    <n v="33.07"/>
    <n v="106900"/>
    <n v="231000"/>
    <n v="0"/>
    <s v="&lt; 25"/>
    <n v="565000"/>
    <n v="445000"/>
    <n v="360"/>
    <x v="2"/>
    <x v="22"/>
    <x v="0"/>
    <x v="1"/>
    <n v="78.761061946902657"/>
    <n v="15"/>
    <n v="360"/>
    <n v="0"/>
    <n v="4.6761646410870306"/>
    <x v="0"/>
  </r>
  <r>
    <n v="24"/>
    <x v="8"/>
    <n v="21.69"/>
    <n v="72200"/>
    <n v="187000"/>
    <n v="0"/>
    <s v="&lt; 25"/>
    <n v="665000"/>
    <n v="495000"/>
    <n v="360"/>
    <x v="0"/>
    <x v="23"/>
    <x v="0"/>
    <x v="0"/>
    <n v="74.436090225563916"/>
    <n v="25"/>
    <n v="360"/>
    <n v="0"/>
    <n v="3.8365440253237555"/>
    <x v="0"/>
  </r>
  <r>
    <n v="25"/>
    <x v="6"/>
    <n v="19.29"/>
    <n v="99400"/>
    <n v="108000"/>
    <n v="0"/>
    <s v="&lt; 25"/>
    <n v="555000"/>
    <n v="435000"/>
    <n v="360"/>
    <x v="3"/>
    <x v="24"/>
    <x v="0"/>
    <x v="0"/>
    <n v="78.378378378378372"/>
    <n v="17"/>
    <n v="360"/>
    <n v="0"/>
    <n v="4.6122789227551575"/>
    <x v="0"/>
  </r>
  <r>
    <n v="26"/>
    <x v="10"/>
    <n v="8.94"/>
    <n v="79000"/>
    <n v="54000"/>
    <n v="0"/>
    <s v="&lt; 25"/>
    <n v="295000"/>
    <n v="235000"/>
    <n v="360"/>
    <x v="5"/>
    <x v="25"/>
    <x v="0"/>
    <x v="0"/>
    <n v="79.66101694915254"/>
    <n v="16"/>
    <n v="360"/>
    <n v="0"/>
    <n v="3.7285968423074998"/>
    <x v="0"/>
  </r>
  <r>
    <n v="27"/>
    <x v="10"/>
    <n v="13.28"/>
    <n v="79000"/>
    <n v="26000"/>
    <n v="0"/>
    <s v="&lt; 25"/>
    <n v="165000"/>
    <n v="35000"/>
    <n v="360"/>
    <x v="3"/>
    <x v="26"/>
    <x v="0"/>
    <x v="0"/>
    <n v="21.212121212121211"/>
    <n v="24"/>
    <n v="360"/>
    <n v="0"/>
    <n v="3.2761775489326057"/>
    <x v="0"/>
  </r>
  <r>
    <n v="28"/>
    <x v="13"/>
    <n v="12.25"/>
    <n v="102800"/>
    <n v="192000"/>
    <n v="1"/>
    <s v="&lt; 25"/>
    <n v="405000"/>
    <n v="375000"/>
    <n v="360"/>
    <x v="3"/>
    <x v="27"/>
    <x v="0"/>
    <x v="0"/>
    <n v="92.592592592592595"/>
    <n v="43"/>
    <n v="360"/>
    <n v="1"/>
    <n v="4.6378882895971527"/>
    <x v="1"/>
  </r>
  <r>
    <n v="29"/>
    <x v="14"/>
    <n v="23.23"/>
    <n v="71400"/>
    <n v="103000"/>
    <n v="0"/>
    <s v="&lt; 25"/>
    <n v="305000"/>
    <n v="215000"/>
    <n v="240"/>
    <x v="0"/>
    <x v="28"/>
    <x v="0"/>
    <x v="0"/>
    <n v="70.491803278688522"/>
    <n v="29"/>
    <n v="240"/>
    <n v="0"/>
    <n v="4.7213897262510667"/>
    <x v="0"/>
  </r>
  <r>
    <n v="30"/>
    <x v="15"/>
    <n v="13.88"/>
    <n v="72200"/>
    <n v="171000"/>
    <n v="0"/>
    <s v="&lt; 25"/>
    <n v="715000"/>
    <n v="515000"/>
    <n v="360"/>
    <x v="3"/>
    <x v="29"/>
    <x v="0"/>
    <x v="0"/>
    <n v="72.027972027972027"/>
    <n v="28"/>
    <n v="360"/>
    <n v="0"/>
    <n v="3.710739887502716"/>
    <x v="0"/>
  </r>
  <r>
    <n v="31"/>
    <x v="16"/>
    <n v="4.2300000000000004"/>
    <n v="89000"/>
    <n v="76000"/>
    <n v="1"/>
    <s v="&lt; 25"/>
    <n v="315000"/>
    <n v="285000"/>
    <n v="360"/>
    <x v="5"/>
    <x v="30"/>
    <x v="0"/>
    <x v="0"/>
    <n v="90.476190476190482"/>
    <n v="17"/>
    <n v="360"/>
    <n v="1"/>
    <n v="5.2642577249176199"/>
    <x v="1"/>
  </r>
  <r>
    <n v="32"/>
    <x v="6"/>
    <n v="12.14"/>
    <n v="83600"/>
    <n v="122000"/>
    <n v="0"/>
    <s v="&lt; 25"/>
    <n v="375000"/>
    <n v="345000"/>
    <n v="360"/>
    <x v="3"/>
    <x v="31"/>
    <x v="0"/>
    <x v="0"/>
    <n v="92"/>
    <n v="45"/>
    <n v="360"/>
    <n v="0"/>
    <n v="4.8916734226099692"/>
    <x v="1"/>
  </r>
  <r>
    <n v="33"/>
    <x v="6"/>
    <n v="35.729999999999997"/>
    <n v="81700"/>
    <n v="102000"/>
    <n v="0"/>
    <s v="&lt; 25"/>
    <n v="305000"/>
    <n v="245000"/>
    <n v="360"/>
    <x v="2"/>
    <x v="32"/>
    <x v="0"/>
    <x v="0"/>
    <n v="80.327868852459019"/>
    <n v="18"/>
    <n v="360"/>
    <n v="0"/>
    <n v="3.7801924977098058"/>
    <x v="1"/>
  </r>
  <r>
    <n v="34"/>
    <x v="17"/>
    <n v="4.96"/>
    <n v="82600"/>
    <n v="196000"/>
    <n v="1"/>
    <s v="&lt; 25"/>
    <n v="405000"/>
    <n v="245000"/>
    <n v="360"/>
    <x v="5"/>
    <x v="33"/>
    <x v="0"/>
    <x v="0"/>
    <n v="60.493827160493829"/>
    <n v="26"/>
    <n v="360"/>
    <n v="1"/>
    <n v="4.1052728124021804"/>
    <x v="0"/>
  </r>
  <r>
    <n v="35"/>
    <x v="1"/>
    <n v="76.77"/>
    <n v="92700"/>
    <n v="91000"/>
    <n v="0"/>
    <s v="&lt; 25"/>
    <n v="575000"/>
    <n v="455000"/>
    <n v="360"/>
    <x v="1"/>
    <x v="34"/>
    <x v="0"/>
    <x v="0"/>
    <n v="79.130434782608688"/>
    <n v="20"/>
    <n v="360"/>
    <n v="0"/>
    <n v="4.2699450376932857"/>
    <x v="0"/>
  </r>
  <r>
    <n v="36"/>
    <x v="18"/>
    <n v="20.04"/>
    <n v="77800"/>
    <n v="72000"/>
    <n v="0"/>
    <s v="&lt; 25"/>
    <n v="195000"/>
    <n v="155000"/>
    <n v="360"/>
    <x v="0"/>
    <x v="35"/>
    <x v="0"/>
    <x v="0"/>
    <n v="79.487179487179489"/>
    <n v="40"/>
    <n v="360"/>
    <n v="0"/>
    <n v="5.5774741625451618"/>
    <x v="0"/>
  </r>
  <r>
    <n v="37"/>
    <x v="8"/>
    <n v="26.93"/>
    <n v="80000"/>
    <n v="232000"/>
    <n v="0"/>
    <s v="&lt; 25"/>
    <n v="445000"/>
    <n v="345000"/>
    <n v="180"/>
    <x v="0"/>
    <x v="36"/>
    <x v="1"/>
    <x v="1"/>
    <n v="77.528089887640448"/>
    <n v="35"/>
    <n v="180"/>
    <n v="0"/>
    <n v="5.5483238711825109"/>
    <x v="0"/>
  </r>
  <r>
    <n v="38"/>
    <x v="2"/>
    <n v="25.02"/>
    <n v="96600"/>
    <n v="159000"/>
    <n v="0"/>
    <s v="&lt; 25"/>
    <n v="285000"/>
    <n v="255000"/>
    <n v="360"/>
    <x v="0"/>
    <x v="37"/>
    <x v="0"/>
    <x v="0"/>
    <n v="89.473684210526315"/>
    <n v="29"/>
    <n v="360"/>
    <n v="0"/>
    <n v="5.6883729994648604"/>
    <x v="1"/>
  </r>
  <r>
    <n v="39"/>
    <x v="19"/>
    <n v="14.53"/>
    <n v="89100"/>
    <n v="197000"/>
    <n v="0"/>
    <s v="&lt; 25"/>
    <n v="405000"/>
    <n v="245000"/>
    <n v="180"/>
    <x v="3"/>
    <x v="33"/>
    <x v="1"/>
    <x v="0"/>
    <n v="60.493827160493829"/>
    <n v="46"/>
    <n v="180"/>
    <n v="0"/>
    <n v="4.670189246697932"/>
    <x v="0"/>
  </r>
  <r>
    <n v="40"/>
    <x v="3"/>
    <n v="23.51"/>
    <n v="124900"/>
    <n v="143000"/>
    <n v="0"/>
    <s v="&lt; 25"/>
    <n v="675000"/>
    <n v="475000"/>
    <n v="240"/>
    <x v="0"/>
    <x v="38"/>
    <x v="0"/>
    <x v="0"/>
    <n v="70.370370370370367"/>
    <n v="24"/>
    <n v="240"/>
    <n v="0"/>
    <n v="4.702726849105666"/>
    <x v="0"/>
  </r>
  <r>
    <n v="41"/>
    <x v="13"/>
    <n v="5.0199999999999996"/>
    <n v="102800"/>
    <n v="158000"/>
    <n v="0"/>
    <s v="&lt; 25"/>
    <n v="345000"/>
    <n v="195000"/>
    <n v="180"/>
    <x v="5"/>
    <x v="39"/>
    <x v="1"/>
    <x v="0"/>
    <n v="56.521739130434781"/>
    <n v="21"/>
    <n v="180"/>
    <n v="0"/>
    <n v="3.4649808946669109"/>
    <x v="0"/>
  </r>
  <r>
    <n v="42"/>
    <x v="6"/>
    <n v="77.25"/>
    <n v="100000"/>
    <n v="232000"/>
    <n v="0"/>
    <s v="&lt; 25"/>
    <n v="575000"/>
    <n v="475000"/>
    <n v="360"/>
    <x v="1"/>
    <x v="40"/>
    <x v="0"/>
    <x v="0"/>
    <n v="82.608695652173907"/>
    <n v="18"/>
    <n v="360"/>
    <n v="0"/>
    <n v="5.5115362353141766"/>
    <x v="1"/>
  </r>
  <r>
    <n v="43"/>
    <x v="6"/>
    <n v="25.29"/>
    <n v="115100"/>
    <n v="162000"/>
    <n v="0"/>
    <s v="&lt; 25"/>
    <n v="595000"/>
    <n v="475000"/>
    <n v="360"/>
    <x v="0"/>
    <x v="18"/>
    <x v="0"/>
    <x v="0"/>
    <n v="79.831932773109244"/>
    <n v="29"/>
    <n v="360"/>
    <n v="0"/>
    <n v="4.7189934257404449"/>
    <x v="0"/>
  </r>
  <r>
    <n v="44"/>
    <x v="15"/>
    <n v="31.34"/>
    <n v="92100"/>
    <n v="36000"/>
    <n v="0"/>
    <s v="&lt; 25"/>
    <n v="375000"/>
    <n v="195000"/>
    <n v="360"/>
    <x v="2"/>
    <x v="41"/>
    <x v="0"/>
    <x v="0"/>
    <n v="52"/>
    <n v="39"/>
    <n v="360"/>
    <n v="0"/>
    <n v="5.2697125495457682"/>
    <x v="0"/>
  </r>
  <r>
    <n v="45"/>
    <x v="20"/>
    <n v="18.05"/>
    <n v="97800"/>
    <n v="60000"/>
    <n v="1"/>
    <s v="&lt; 25"/>
    <n v="195000"/>
    <n v="145000"/>
    <n v="360"/>
    <x v="3"/>
    <x v="42"/>
    <x v="0"/>
    <x v="0"/>
    <n v="74.358974358974365"/>
    <n v="35"/>
    <n v="360"/>
    <n v="1"/>
    <n v="4.2003931367239415"/>
    <x v="0"/>
  </r>
  <r>
    <n v="46"/>
    <x v="21"/>
    <n v="6.85"/>
    <n v="86900"/>
    <n v="138000"/>
    <n v="0"/>
    <s v="&lt; 25"/>
    <n v="305000"/>
    <n v="225000"/>
    <n v="360"/>
    <x v="5"/>
    <x v="43"/>
    <x v="0"/>
    <x v="0"/>
    <n v="73.770491803278688"/>
    <n v="33"/>
    <n v="360"/>
    <n v="0"/>
    <n v="4.9676765857485616"/>
    <x v="0"/>
  </r>
  <r>
    <n v="47"/>
    <x v="7"/>
    <n v="9.33"/>
    <n v="96500"/>
    <n v="229000"/>
    <n v="0"/>
    <s v="&lt; 25"/>
    <n v="475000"/>
    <n v="315000"/>
    <n v="360"/>
    <x v="5"/>
    <x v="44"/>
    <x v="0"/>
    <x v="1"/>
    <n v="66.315789473684205"/>
    <n v="25"/>
    <n v="360"/>
    <n v="0"/>
    <n v="5.2528602364581367"/>
    <x v="0"/>
  </r>
  <r>
    <n v="48"/>
    <x v="8"/>
    <n v="59.3"/>
    <n v="52500"/>
    <n v="173000"/>
    <n v="0"/>
    <s v="25 to 34"/>
    <n v="255000"/>
    <n v="205000"/>
    <n v="360"/>
    <x v="1"/>
    <x v="45"/>
    <x v="0"/>
    <x v="0"/>
    <n v="80.392156862745097"/>
    <n v="38"/>
    <n v="360"/>
    <n v="0"/>
    <n v="4.6229874755643889"/>
    <x v="1"/>
  </r>
  <r>
    <n v="49"/>
    <x v="22"/>
    <n v="4.3499999999999996"/>
    <n v="76800"/>
    <n v="146000"/>
    <n v="0"/>
    <s v="25 to 34"/>
    <n v="305000"/>
    <n v="175000"/>
    <n v="180"/>
    <x v="5"/>
    <x v="46"/>
    <x v="1"/>
    <x v="0"/>
    <n v="57.377049180327866"/>
    <n v="16"/>
    <n v="180"/>
    <n v="0"/>
    <n v="3.2507288671297903"/>
    <x v="0"/>
  </r>
  <r>
    <n v="50"/>
    <x v="23"/>
    <n v="20.22"/>
    <n v="80700"/>
    <n v="57000"/>
    <n v="1"/>
    <s v="25 to 34"/>
    <n v="335000"/>
    <n v="315000"/>
    <n v="360"/>
    <x v="0"/>
    <x v="47"/>
    <x v="0"/>
    <x v="0"/>
    <n v="94.029850746268664"/>
    <n v="24"/>
    <n v="360"/>
    <n v="1"/>
    <n v="5.8282319836501451"/>
    <x v="1"/>
  </r>
  <r>
    <n v="51"/>
    <x v="0"/>
    <n v="39.58"/>
    <n v="106900"/>
    <n v="91000"/>
    <n v="0"/>
    <s v="25 to 34"/>
    <n v="345000"/>
    <n v="285000"/>
    <n v="360"/>
    <x v="2"/>
    <x v="40"/>
    <x v="0"/>
    <x v="0"/>
    <n v="82.608695652173907"/>
    <n v="23"/>
    <n v="360"/>
    <n v="0"/>
    <n v="3.8291778574695403"/>
    <x v="1"/>
  </r>
  <r>
    <n v="52"/>
    <x v="14"/>
    <n v="2.66"/>
    <n v="72300"/>
    <n v="123000"/>
    <n v="1"/>
    <s v="25 to 34"/>
    <n v="365000"/>
    <n v="335000"/>
    <n v="360"/>
    <x v="5"/>
    <x v="48"/>
    <x v="0"/>
    <x v="0"/>
    <n v="91.780821917808225"/>
    <n v="48"/>
    <n v="360"/>
    <n v="1"/>
    <n v="6.3313891262751074"/>
    <x v="1"/>
  </r>
  <r>
    <n v="53"/>
    <x v="7"/>
    <n v="2.91"/>
    <n v="77600"/>
    <n v="146000"/>
    <n v="0"/>
    <s v="25 to 34"/>
    <n v="355000"/>
    <n v="305000"/>
    <n v="360"/>
    <x v="5"/>
    <x v="49"/>
    <x v="0"/>
    <x v="0"/>
    <n v="85.91549295774648"/>
    <n v="30"/>
    <n v="360"/>
    <n v="0"/>
    <n v="4.1742018412203787"/>
    <x v="1"/>
  </r>
  <r>
    <n v="54"/>
    <x v="11"/>
    <n v="8.7100000000000009"/>
    <n v="54700"/>
    <n v="79000"/>
    <n v="0"/>
    <s v="25 to 34"/>
    <n v="145000"/>
    <n v="105000"/>
    <n v="180"/>
    <x v="5"/>
    <x v="50"/>
    <x v="1"/>
    <x v="0"/>
    <n v="72.41379310344827"/>
    <n v="31"/>
    <n v="180"/>
    <n v="0"/>
    <n v="4.8930189370082173"/>
    <x v="0"/>
  </r>
  <r>
    <n v="55"/>
    <x v="9"/>
    <n v="12.34"/>
    <n v="95300"/>
    <n v="112000"/>
    <n v="0"/>
    <s v="25 to 34"/>
    <n v="515000"/>
    <n v="285000"/>
    <n v="180"/>
    <x v="3"/>
    <x v="51"/>
    <x v="1"/>
    <x v="0"/>
    <n v="55.339805825242713"/>
    <n v="30"/>
    <n v="180"/>
    <n v="0"/>
    <n v="4.0447807755605316"/>
    <x v="0"/>
  </r>
  <r>
    <n v="56"/>
    <x v="6"/>
    <n v="23.98"/>
    <n v="71000"/>
    <n v="191000"/>
    <n v="0"/>
    <s v="25 to 34"/>
    <n v="455000"/>
    <n v="365000"/>
    <n v="360"/>
    <x v="0"/>
    <x v="52"/>
    <x v="0"/>
    <x v="0"/>
    <n v="80.219780219780219"/>
    <n v="15"/>
    <n v="360"/>
    <n v="0"/>
    <n v="4.7803614272004591"/>
    <x v="1"/>
  </r>
  <r>
    <n v="57"/>
    <x v="14"/>
    <n v="6.5"/>
    <n v="71400"/>
    <n v="53000"/>
    <n v="0"/>
    <s v="25 to 34"/>
    <n v="305000"/>
    <n v="265000"/>
    <n v="360"/>
    <x v="5"/>
    <x v="53"/>
    <x v="0"/>
    <x v="0"/>
    <n v="86.885245901639337"/>
    <n v="22"/>
    <n v="360"/>
    <n v="0"/>
    <n v="5.2163198711935976"/>
    <x v="1"/>
  </r>
  <r>
    <n v="58"/>
    <x v="1"/>
    <n v="90.45"/>
    <n v="83300"/>
    <n v="102000"/>
    <n v="0"/>
    <s v="25 to 34"/>
    <n v="535000"/>
    <n v="285000"/>
    <n v="360"/>
    <x v="1"/>
    <x v="54"/>
    <x v="0"/>
    <x v="0"/>
    <n v="53.271028037383175"/>
    <n v="20"/>
    <n v="360"/>
    <n v="0"/>
    <n v="3.5968985736336343"/>
    <x v="0"/>
  </r>
  <r>
    <n v="59"/>
    <x v="15"/>
    <n v="31.34"/>
    <n v="92100"/>
    <n v="75000"/>
    <n v="0"/>
    <s v="25 to 34"/>
    <n v="375000"/>
    <n v="185000"/>
    <n v="180"/>
    <x v="2"/>
    <x v="55"/>
    <x v="1"/>
    <x v="0"/>
    <n v="49.333333333333336"/>
    <n v="18"/>
    <n v="180"/>
    <n v="0"/>
    <n v="3.6241489603514507"/>
    <x v="0"/>
  </r>
  <r>
    <n v="60"/>
    <x v="4"/>
    <n v="9.7899999999999991"/>
    <n v="76000"/>
    <n v="65000"/>
    <n v="0"/>
    <s v="25 to 34"/>
    <n v="175000"/>
    <n v="125000"/>
    <n v="360"/>
    <x v="5"/>
    <x v="56"/>
    <x v="0"/>
    <x v="0"/>
    <n v="71.428571428571431"/>
    <n v="17"/>
    <n v="360"/>
    <n v="0"/>
    <n v="4.1429750992075771"/>
    <x v="0"/>
  </r>
  <r>
    <n v="61"/>
    <x v="11"/>
    <n v="16.149999999999999"/>
    <n v="55400"/>
    <n v="62000"/>
    <n v="0"/>
    <s v="25 to 34"/>
    <n v="235000"/>
    <n v="175000"/>
    <n v="180"/>
    <x v="3"/>
    <x v="57"/>
    <x v="1"/>
    <x v="0"/>
    <n v="74.468085106382972"/>
    <n v="31"/>
    <n v="180"/>
    <n v="0"/>
    <n v="3.7196751104277688"/>
    <x v="0"/>
  </r>
  <r>
    <n v="62"/>
    <x v="24"/>
    <n v="55.47"/>
    <n v="71400"/>
    <n v="130000"/>
    <n v="0"/>
    <s v="25 to 34"/>
    <n v="335000"/>
    <n v="245000"/>
    <n v="360"/>
    <x v="1"/>
    <x v="58"/>
    <x v="0"/>
    <x v="0"/>
    <n v="73.134328358208961"/>
    <n v="56"/>
    <n v="360"/>
    <n v="0"/>
    <n v="4.9285413239571989"/>
    <x v="0"/>
  </r>
  <r>
    <n v="63"/>
    <x v="1"/>
    <n v="29.96"/>
    <n v="83300"/>
    <n v="192000"/>
    <n v="0"/>
    <s v="25 to 34"/>
    <n v="965000"/>
    <n v="585000"/>
    <n v="360"/>
    <x v="0"/>
    <x v="59"/>
    <x v="0"/>
    <x v="0"/>
    <n v="60.62176165803109"/>
    <n v="19"/>
    <n v="360"/>
    <n v="0"/>
    <n v="4.108735852523755"/>
    <x v="0"/>
  </r>
  <r>
    <n v="64"/>
    <x v="6"/>
    <n v="26.51"/>
    <n v="100000"/>
    <n v="121000"/>
    <n v="0"/>
    <s v="25 to 34"/>
    <n v="595000"/>
    <n v="385000"/>
    <n v="360"/>
    <x v="0"/>
    <x v="60"/>
    <x v="0"/>
    <x v="0"/>
    <n v="64.705882352941174"/>
    <n v="38"/>
    <n v="360"/>
    <n v="0"/>
    <n v="5.3240370435441973"/>
    <x v="0"/>
  </r>
  <r>
    <n v="65"/>
    <x v="14"/>
    <n v="24.01"/>
    <n v="71400"/>
    <n v="140000"/>
    <n v="0"/>
    <s v="25 to 34"/>
    <n v="225000"/>
    <n v="195000"/>
    <n v="360"/>
    <x v="0"/>
    <x v="61"/>
    <x v="0"/>
    <x v="0"/>
    <n v="86.666666666666671"/>
    <n v="32"/>
    <n v="360"/>
    <n v="0"/>
    <n v="5.425396761931637"/>
    <x v="1"/>
  </r>
  <r>
    <n v="66"/>
    <x v="24"/>
    <n v="37.47"/>
    <n v="81000"/>
    <n v="203000"/>
    <n v="0"/>
    <s v="25 to 34"/>
    <n v="395000"/>
    <n v="295000"/>
    <n v="360"/>
    <x v="2"/>
    <x v="62"/>
    <x v="0"/>
    <x v="0"/>
    <n v="74.683544303797461"/>
    <n v="28"/>
    <n v="360"/>
    <n v="0"/>
    <n v="5.070394642019588"/>
    <x v="0"/>
  </r>
  <r>
    <n v="67"/>
    <x v="9"/>
    <n v="8.3000000000000007"/>
    <n v="80000"/>
    <n v="76000"/>
    <n v="0"/>
    <s v="25 to 34"/>
    <n v="345000"/>
    <n v="245000"/>
    <n v="360"/>
    <x v="5"/>
    <x v="63"/>
    <x v="0"/>
    <x v="0"/>
    <n v="71.014492753623188"/>
    <n v="12"/>
    <n v="360"/>
    <n v="0"/>
    <n v="4.6738606853540849"/>
    <x v="0"/>
  </r>
  <r>
    <n v="68"/>
    <x v="2"/>
    <n v="3.31"/>
    <n v="85800"/>
    <n v="376000"/>
    <n v="0"/>
    <s v="25 to 34"/>
    <n v="635000"/>
    <n v="475000"/>
    <n v="360"/>
    <x v="5"/>
    <x v="64"/>
    <x v="0"/>
    <x v="1"/>
    <n v="74.803149606299215"/>
    <n v="39"/>
    <n v="360"/>
    <n v="0"/>
    <n v="4.9154583194046735"/>
    <x v="0"/>
  </r>
  <r>
    <n v="69"/>
    <x v="8"/>
    <n v="10.17"/>
    <n v="73700"/>
    <n v="96000"/>
    <n v="1"/>
    <s v="25 to 34"/>
    <n v="365000"/>
    <n v="285000"/>
    <n v="360"/>
    <x v="3"/>
    <x v="65"/>
    <x v="0"/>
    <x v="0"/>
    <n v="78.082191780821915"/>
    <n v="24"/>
    <n v="360"/>
    <n v="1"/>
    <n v="5.713482361284818"/>
    <x v="0"/>
  </r>
  <r>
    <n v="70"/>
    <x v="14"/>
    <n v="10.08"/>
    <n v="71400"/>
    <n v="155000"/>
    <n v="0"/>
    <s v="25 to 34"/>
    <n v="385000"/>
    <n v="245000"/>
    <n v="360"/>
    <x v="3"/>
    <x v="66"/>
    <x v="0"/>
    <x v="0"/>
    <n v="63.636363636363633"/>
    <n v="6"/>
    <n v="360"/>
    <n v="0"/>
    <n v="3.9244197787571098"/>
    <x v="0"/>
  </r>
  <r>
    <n v="71"/>
    <x v="1"/>
    <n v="35.67"/>
    <n v="83300"/>
    <n v="306000"/>
    <n v="0"/>
    <s v="25 to 34"/>
    <n v="835000"/>
    <n v="535000"/>
    <n v="360"/>
    <x v="2"/>
    <x v="67"/>
    <x v="0"/>
    <x v="1"/>
    <n v="64.071856287425149"/>
    <n v="24"/>
    <n v="360"/>
    <n v="0"/>
    <n v="3.9027580532810537"/>
    <x v="0"/>
  </r>
  <r>
    <n v="72"/>
    <x v="15"/>
    <n v="9.81"/>
    <n v="72200"/>
    <n v="197000"/>
    <n v="0"/>
    <s v="25 to 34"/>
    <n v="275000"/>
    <n v="195000"/>
    <n v="360"/>
    <x v="5"/>
    <x v="68"/>
    <x v="0"/>
    <x v="0"/>
    <n v="70.909090909090907"/>
    <n v="31"/>
    <n v="360"/>
    <n v="0"/>
    <n v="4.9867957914417431"/>
    <x v="0"/>
  </r>
  <r>
    <n v="73"/>
    <x v="0"/>
    <n v="24.46"/>
    <n v="106900"/>
    <n v="124000"/>
    <n v="0"/>
    <s v="25 to 34"/>
    <n v="865000"/>
    <n v="495000"/>
    <n v="360"/>
    <x v="0"/>
    <x v="69"/>
    <x v="0"/>
    <x v="0"/>
    <n v="57.225433526011557"/>
    <n v="31"/>
    <n v="360"/>
    <n v="0"/>
    <n v="3.6168572919815283"/>
    <x v="0"/>
  </r>
  <r>
    <n v="74"/>
    <x v="1"/>
    <n v="41.16"/>
    <n v="97800"/>
    <n v="138000"/>
    <n v="0"/>
    <s v="25 to 34"/>
    <n v="705000"/>
    <n v="415000"/>
    <n v="360"/>
    <x v="4"/>
    <x v="70"/>
    <x v="0"/>
    <x v="0"/>
    <n v="58.865248226950349"/>
    <n v="37"/>
    <n v="360"/>
    <n v="0"/>
    <n v="4.5147998374924168"/>
    <x v="0"/>
  </r>
  <r>
    <n v="75"/>
    <x v="19"/>
    <n v="19.27"/>
    <n v="89100"/>
    <n v="259000"/>
    <n v="0"/>
    <s v="25 to 34"/>
    <n v="505000"/>
    <n v="425000"/>
    <n v="360"/>
    <x v="3"/>
    <x v="71"/>
    <x v="0"/>
    <x v="0"/>
    <n v="84.158415841584159"/>
    <n v="14"/>
    <n v="360"/>
    <n v="0"/>
    <n v="3.7686942161672912"/>
    <x v="1"/>
  </r>
  <r>
    <n v="76"/>
    <x v="25"/>
    <n v="6.56"/>
    <n v="76500"/>
    <n v="106000"/>
    <n v="0"/>
    <s v="25 to 34"/>
    <n v="395000"/>
    <n v="285000"/>
    <n v="360"/>
    <x v="5"/>
    <x v="72"/>
    <x v="0"/>
    <x v="0"/>
    <n v="72.151898734177209"/>
    <n v="36"/>
    <n v="360"/>
    <n v="0"/>
    <n v="3.990384441913108"/>
    <x v="0"/>
  </r>
  <r>
    <n v="77"/>
    <x v="1"/>
    <n v="59.79"/>
    <n v="83300"/>
    <n v="212000"/>
    <n v="0"/>
    <s v="25 to 34"/>
    <n v="835000"/>
    <n v="545000"/>
    <n v="360"/>
    <x v="1"/>
    <x v="73"/>
    <x v="0"/>
    <x v="0"/>
    <n v="65.269461077844312"/>
    <n v="43"/>
    <n v="360"/>
    <n v="0"/>
    <n v="4.5454167752702279"/>
    <x v="0"/>
  </r>
  <r>
    <n v="78"/>
    <x v="11"/>
    <n v="41.5"/>
    <n v="82200"/>
    <n v="46000"/>
    <n v="0"/>
    <s v="25 to 34"/>
    <n v="385000"/>
    <n v="265000"/>
    <n v="360"/>
    <x v="4"/>
    <x v="74"/>
    <x v="0"/>
    <x v="0"/>
    <n v="68.831168831168839"/>
    <n v="22"/>
    <n v="360"/>
    <n v="0"/>
    <n v="4.4439220684959508"/>
    <x v="0"/>
  </r>
  <r>
    <n v="79"/>
    <x v="0"/>
    <n v="21.32"/>
    <n v="106900"/>
    <n v="115000"/>
    <n v="0"/>
    <s v="25 to 34"/>
    <n v="955000"/>
    <n v="485000"/>
    <n v="360"/>
    <x v="0"/>
    <x v="75"/>
    <x v="0"/>
    <x v="0"/>
    <n v="50.785340314136128"/>
    <n v="31"/>
    <n v="360"/>
    <n v="0"/>
    <n v="4.3094730975303417"/>
    <x v="0"/>
  </r>
  <r>
    <n v="80"/>
    <x v="1"/>
    <n v="83.3"/>
    <n v="75300"/>
    <n v="120000"/>
    <n v="0"/>
    <s v="25 to 34"/>
    <n v="355000"/>
    <n v="185000"/>
    <n v="180"/>
    <x v="1"/>
    <x v="76"/>
    <x v="1"/>
    <x v="0"/>
    <n v="52.112676056338024"/>
    <n v="42"/>
    <n v="180"/>
    <n v="0"/>
    <n v="4.2005935436352084"/>
    <x v="0"/>
  </r>
  <r>
    <n v="81"/>
    <x v="23"/>
    <n v="19.309999999999999"/>
    <n v="80700"/>
    <n v="77000"/>
    <n v="0"/>
    <s v="25 to 34"/>
    <n v="485000"/>
    <n v="195000"/>
    <n v="360"/>
    <x v="3"/>
    <x v="77"/>
    <x v="0"/>
    <x v="0"/>
    <n v="40.206185567010309"/>
    <n v="34"/>
    <n v="360"/>
    <n v="0"/>
    <n v="5.3485714226683063"/>
    <x v="0"/>
  </r>
  <r>
    <n v="82"/>
    <x v="26"/>
    <n v="50.56"/>
    <n v="68300"/>
    <n v="74000"/>
    <n v="0"/>
    <s v="25 to 34"/>
    <n v="275000"/>
    <n v="215000"/>
    <n v="360"/>
    <x v="1"/>
    <x v="78"/>
    <x v="0"/>
    <x v="0"/>
    <n v="78.181818181818187"/>
    <n v="31"/>
    <n v="360"/>
    <n v="0"/>
    <n v="4.3880829025275814"/>
    <x v="0"/>
  </r>
  <r>
    <n v="83"/>
    <x v="27"/>
    <n v="3.94"/>
    <n v="69800"/>
    <n v="113000"/>
    <n v="0"/>
    <s v="25 to 34"/>
    <n v="275000"/>
    <n v="235000"/>
    <n v="360"/>
    <x v="5"/>
    <x v="79"/>
    <x v="0"/>
    <x v="0"/>
    <n v="85.454545454545453"/>
    <n v="31"/>
    <n v="360"/>
    <n v="0"/>
    <n v="5.0524252609846219"/>
    <x v="1"/>
  </r>
  <r>
    <n v="84"/>
    <x v="12"/>
    <n v="15.3"/>
    <n v="85300"/>
    <n v="74000"/>
    <n v="0"/>
    <s v="25 to 34"/>
    <n v="315000"/>
    <n v="245000"/>
    <n v="360"/>
    <x v="3"/>
    <x v="80"/>
    <x v="0"/>
    <x v="0"/>
    <n v="77.777777777777786"/>
    <n v="33"/>
    <n v="360"/>
    <n v="0"/>
    <n v="5.1179786430718854"/>
    <x v="0"/>
  </r>
  <r>
    <n v="85"/>
    <x v="1"/>
    <n v="37.36"/>
    <n v="83300"/>
    <n v="184000"/>
    <n v="0"/>
    <s v="25 to 34"/>
    <n v="995000"/>
    <n v="505000"/>
    <n v="240"/>
    <x v="2"/>
    <x v="81"/>
    <x v="0"/>
    <x v="0"/>
    <n v="50.753768844221106"/>
    <n v="35"/>
    <n v="240"/>
    <n v="0"/>
    <n v="4.5626201173407646"/>
    <x v="0"/>
  </r>
  <r>
    <n v="86"/>
    <x v="12"/>
    <n v="12.96"/>
    <n v="71000"/>
    <n v="61000"/>
    <n v="0"/>
    <s v="25 to 34"/>
    <n v="335000"/>
    <n v="245000"/>
    <n v="360"/>
    <x v="3"/>
    <x v="58"/>
    <x v="0"/>
    <x v="0"/>
    <n v="73.134328358208961"/>
    <n v="38"/>
    <n v="360"/>
    <n v="0"/>
    <n v="4.8883234770024755"/>
    <x v="0"/>
  </r>
  <r>
    <n v="87"/>
    <x v="23"/>
    <n v="15.02"/>
    <n v="70800"/>
    <n v="130000"/>
    <n v="0"/>
    <s v="25 to 34"/>
    <n v="295000"/>
    <n v="185000"/>
    <n v="180"/>
    <x v="3"/>
    <x v="82"/>
    <x v="1"/>
    <x v="0"/>
    <n v="62.711864406779661"/>
    <n v="39"/>
    <n v="180"/>
    <n v="0"/>
    <n v="5.3697175215938193"/>
    <x v="0"/>
  </r>
  <r>
    <n v="88"/>
    <x v="26"/>
    <n v="31.07"/>
    <n v="58800"/>
    <n v="139000"/>
    <n v="0"/>
    <s v="25 to 34"/>
    <n v="375000"/>
    <n v="305000"/>
    <n v="240"/>
    <x v="2"/>
    <x v="83"/>
    <x v="0"/>
    <x v="0"/>
    <n v="81.333333333333329"/>
    <n v="21"/>
    <n v="240"/>
    <n v="0"/>
    <n v="5.3123916361646888"/>
    <x v="1"/>
  </r>
  <r>
    <n v="89"/>
    <x v="1"/>
    <n v="57.69"/>
    <n v="86700"/>
    <n v="82000"/>
    <n v="0"/>
    <s v="25 to 34"/>
    <n v="475000"/>
    <n v="325000"/>
    <n v="360"/>
    <x v="1"/>
    <x v="84"/>
    <x v="0"/>
    <x v="0"/>
    <n v="68.421052631578945"/>
    <n v="11"/>
    <n v="360"/>
    <n v="0"/>
    <n v="3.4009162301964286"/>
    <x v="0"/>
  </r>
  <r>
    <n v="90"/>
    <x v="1"/>
    <n v="39.57"/>
    <n v="83300"/>
    <n v="148000"/>
    <n v="0"/>
    <s v="25 to 34"/>
    <n v="755000"/>
    <n v="405000"/>
    <n v="360"/>
    <x v="2"/>
    <x v="85"/>
    <x v="0"/>
    <x v="0"/>
    <n v="53.642384105960261"/>
    <n v="34"/>
    <n v="360"/>
    <n v="0"/>
    <n v="5.0828676992179487"/>
    <x v="0"/>
  </r>
  <r>
    <n v="91"/>
    <x v="28"/>
    <n v="10.96"/>
    <n v="94100"/>
    <n v="103000"/>
    <n v="0"/>
    <s v="25 to 34"/>
    <n v="445000"/>
    <n v="395000"/>
    <n v="360"/>
    <x v="3"/>
    <x v="86"/>
    <x v="0"/>
    <x v="0"/>
    <n v="88.764044943820224"/>
    <n v="19"/>
    <n v="360"/>
    <n v="0"/>
    <n v="4.252730888648534"/>
    <x v="1"/>
  </r>
  <r>
    <n v="92"/>
    <x v="3"/>
    <n v="11.61"/>
    <n v="89400"/>
    <n v="218000"/>
    <n v="0"/>
    <s v="25 to 34"/>
    <n v="435000"/>
    <n v="305000"/>
    <n v="180"/>
    <x v="3"/>
    <x v="87"/>
    <x v="1"/>
    <x v="0"/>
    <n v="70.114942528735639"/>
    <n v="25"/>
    <n v="180"/>
    <n v="0"/>
    <n v="4.4733440403984339"/>
    <x v="0"/>
  </r>
  <r>
    <n v="93"/>
    <x v="29"/>
    <n v="28.67"/>
    <n v="64600"/>
    <n v="164000"/>
    <n v="0"/>
    <s v="25 to 34"/>
    <n v="425000"/>
    <n v="285000"/>
    <n v="180"/>
    <x v="0"/>
    <x v="88"/>
    <x v="1"/>
    <x v="0"/>
    <n v="67.058823529411754"/>
    <n v="27"/>
    <n v="180"/>
    <n v="0"/>
    <n v="5.0593107147187135"/>
    <x v="0"/>
  </r>
  <r>
    <n v="94"/>
    <x v="2"/>
    <n v="14.01"/>
    <n v="96500"/>
    <n v="244000"/>
    <n v="0"/>
    <s v="25 to 34"/>
    <n v="445000"/>
    <n v="395000"/>
    <n v="360"/>
    <x v="3"/>
    <x v="86"/>
    <x v="0"/>
    <x v="0"/>
    <n v="88.764044943820224"/>
    <n v="39"/>
    <n v="360"/>
    <n v="0"/>
    <n v="4.7327925174891412"/>
    <x v="1"/>
  </r>
  <r>
    <n v="95"/>
    <x v="18"/>
    <n v="22.68"/>
    <n v="77800"/>
    <n v="51000"/>
    <n v="0"/>
    <s v="25 to 34"/>
    <n v="355000"/>
    <n v="95000"/>
    <n v="360"/>
    <x v="0"/>
    <x v="89"/>
    <x v="0"/>
    <x v="0"/>
    <n v="26.760563380281688"/>
    <n v="15"/>
    <n v="360"/>
    <n v="0"/>
    <n v="3.4456494940823106"/>
    <x v="0"/>
  </r>
  <r>
    <n v="96"/>
    <x v="8"/>
    <n v="15.97"/>
    <n v="97600"/>
    <n v="475000"/>
    <n v="0"/>
    <s v="25 to 34"/>
    <n v="505000"/>
    <n v="375000"/>
    <n v="360"/>
    <x v="3"/>
    <x v="90"/>
    <x v="0"/>
    <x v="1"/>
    <n v="74.257425742574256"/>
    <n v="39"/>
    <n v="360"/>
    <n v="0"/>
    <n v="4.5088085421271602"/>
    <x v="0"/>
  </r>
  <r>
    <n v="97"/>
    <x v="7"/>
    <n v="21.42"/>
    <n v="76200"/>
    <n v="80000"/>
    <n v="0"/>
    <s v="25 to 34"/>
    <n v="135000"/>
    <n v="125000"/>
    <n v="360"/>
    <x v="0"/>
    <x v="27"/>
    <x v="0"/>
    <x v="0"/>
    <n v="92.592592592592595"/>
    <n v="28"/>
    <n v="360"/>
    <n v="0"/>
    <n v="5.7764128960528041"/>
    <x v="1"/>
  </r>
  <r>
    <n v="98"/>
    <x v="22"/>
    <n v="2.5499999999999998"/>
    <n v="102800"/>
    <n v="63000"/>
    <n v="0"/>
    <s v="35 to 44"/>
    <n v="295000"/>
    <n v="185000"/>
    <n v="240"/>
    <x v="5"/>
    <x v="82"/>
    <x v="0"/>
    <x v="0"/>
    <n v="62.711864406779661"/>
    <n v="35"/>
    <n v="240"/>
    <n v="0"/>
    <n v="4.634041596575412"/>
    <x v="0"/>
  </r>
  <r>
    <n v="99"/>
    <x v="30"/>
    <n v="4.17"/>
    <n v="79300"/>
    <n v="116000"/>
    <n v="1"/>
    <s v="35 to 44"/>
    <n v="255000"/>
    <n v="245000"/>
    <n v="360"/>
    <x v="5"/>
    <x v="91"/>
    <x v="0"/>
    <x v="0"/>
    <n v="96.078431372549019"/>
    <n v="28"/>
    <n v="360"/>
    <n v="1"/>
    <n v="4.0945523216426434"/>
    <x v="1"/>
  </r>
  <r>
    <n v="100"/>
    <x v="27"/>
    <n v="3.14"/>
    <n v="82300"/>
    <n v="88000"/>
    <n v="1"/>
    <s v="35 to 44"/>
    <n v="155000"/>
    <n v="95000"/>
    <n v="180"/>
    <x v="5"/>
    <x v="92"/>
    <x v="1"/>
    <x v="0"/>
    <n v="61.29032258064516"/>
    <n v="11"/>
    <n v="180"/>
    <n v="1"/>
    <n v="4.586296023076244"/>
    <x v="0"/>
  </r>
  <r>
    <n v="101"/>
    <x v="2"/>
    <n v="48.53"/>
    <n v="96500"/>
    <n v="69000"/>
    <n v="0"/>
    <s v="35 to 44"/>
    <n v="305000"/>
    <n v="105000"/>
    <n v="360"/>
    <x v="4"/>
    <x v="93"/>
    <x v="0"/>
    <x v="0"/>
    <n v="34.42622950819672"/>
    <n v="34"/>
    <n v="360"/>
    <n v="0"/>
    <n v="4.8150978713158903"/>
    <x v="0"/>
  </r>
  <r>
    <n v="102"/>
    <x v="31"/>
    <n v="7.49"/>
    <n v="81000"/>
    <n v="110000"/>
    <n v="0"/>
    <s v="35 to 44"/>
    <n v="285000"/>
    <n v="255000"/>
    <n v="360"/>
    <x v="5"/>
    <x v="37"/>
    <x v="0"/>
    <x v="0"/>
    <n v="89.473684210526315"/>
    <n v="29"/>
    <n v="360"/>
    <n v="0"/>
    <n v="3.8984235362391972"/>
    <x v="1"/>
  </r>
  <r>
    <n v="103"/>
    <x v="1"/>
    <n v="51.32"/>
    <n v="92700"/>
    <n v="82000"/>
    <n v="0"/>
    <s v="35 to 44"/>
    <n v="995000"/>
    <n v="445000"/>
    <n v="360"/>
    <x v="1"/>
    <x v="94"/>
    <x v="0"/>
    <x v="0"/>
    <n v="44.723618090452263"/>
    <n v="41"/>
    <n v="360"/>
    <n v="0"/>
    <n v="4.0880928340566589"/>
    <x v="0"/>
  </r>
  <r>
    <n v="104"/>
    <x v="23"/>
    <n v="6.91"/>
    <n v="72600"/>
    <n v="88000"/>
    <n v="0"/>
    <s v="35 to 44"/>
    <n v="505000"/>
    <n v="365000"/>
    <n v="360"/>
    <x v="5"/>
    <x v="95"/>
    <x v="0"/>
    <x v="0"/>
    <n v="72.277227722772281"/>
    <n v="28"/>
    <n v="360"/>
    <n v="0"/>
    <n v="4.2253189322247593"/>
    <x v="0"/>
  </r>
  <r>
    <n v="105"/>
    <x v="11"/>
    <n v="11.47"/>
    <n v="58700"/>
    <n v="30000"/>
    <n v="0"/>
    <s v="35 to 44"/>
    <n v="95000"/>
    <n v="75000"/>
    <n v="360"/>
    <x v="3"/>
    <x v="96"/>
    <x v="0"/>
    <x v="0"/>
    <n v="78.94736842105263"/>
    <n v="35"/>
    <n v="360"/>
    <n v="0"/>
    <n v="4.6298948194393548"/>
    <x v="0"/>
  </r>
  <r>
    <n v="106"/>
    <x v="32"/>
    <n v="5.74"/>
    <n v="89200"/>
    <n v="131000"/>
    <n v="0"/>
    <s v="35 to 44"/>
    <n v="235000"/>
    <n v="185000"/>
    <n v="180"/>
    <x v="5"/>
    <x v="97"/>
    <x v="1"/>
    <x v="0"/>
    <n v="78.723404255319153"/>
    <n v="32"/>
    <n v="180"/>
    <n v="0"/>
    <n v="5.1637871361718144"/>
    <x v="0"/>
  </r>
  <r>
    <n v="107"/>
    <x v="32"/>
    <n v="9.65"/>
    <n v="80600"/>
    <n v="82000"/>
    <n v="0"/>
    <s v="35 to 44"/>
    <n v="295000"/>
    <n v="235000"/>
    <n v="360"/>
    <x v="5"/>
    <x v="25"/>
    <x v="0"/>
    <x v="0"/>
    <n v="79.66101694915254"/>
    <n v="45"/>
    <n v="360"/>
    <n v="0"/>
    <n v="4.4962472255482151"/>
    <x v="0"/>
  </r>
  <r>
    <n v="108"/>
    <x v="15"/>
    <n v="14.27"/>
    <n v="92100"/>
    <n v="162000"/>
    <n v="0"/>
    <s v="35 to 44"/>
    <n v="505000"/>
    <n v="365000"/>
    <n v="180"/>
    <x v="3"/>
    <x v="95"/>
    <x v="1"/>
    <x v="0"/>
    <n v="72.277227722772281"/>
    <n v="14"/>
    <n v="180"/>
    <n v="0"/>
    <n v="4.7816129522769417"/>
    <x v="0"/>
  </r>
  <r>
    <n v="109"/>
    <x v="17"/>
    <n v="9"/>
    <n v="82600"/>
    <n v="118000"/>
    <n v="0"/>
    <s v="35 to 44"/>
    <n v="405000"/>
    <n v="325000"/>
    <n v="360"/>
    <x v="5"/>
    <x v="4"/>
    <x v="0"/>
    <x v="0"/>
    <n v="80.246913580246911"/>
    <n v="18"/>
    <n v="360"/>
    <n v="0"/>
    <n v="4.1912177716076755"/>
    <x v="1"/>
  </r>
  <r>
    <n v="110"/>
    <x v="1"/>
    <n v="59.52"/>
    <n v="75300"/>
    <n v="37000"/>
    <n v="0"/>
    <s v="35 to 44"/>
    <n v="415000"/>
    <n v="295000"/>
    <n v="360"/>
    <x v="1"/>
    <x v="98"/>
    <x v="0"/>
    <x v="0"/>
    <n v="71.084337349397586"/>
    <n v="41"/>
    <n v="360"/>
    <n v="0"/>
    <n v="4.6274191805407083"/>
    <x v="0"/>
  </r>
  <r>
    <n v="111"/>
    <x v="26"/>
    <n v="51.06"/>
    <n v="68100"/>
    <n v="117000"/>
    <n v="0"/>
    <s v="35 to 44"/>
    <n v="285000"/>
    <n v="235000"/>
    <n v="360"/>
    <x v="1"/>
    <x v="99"/>
    <x v="0"/>
    <x v="0"/>
    <n v="82.456140350877192"/>
    <n v="37"/>
    <n v="360"/>
    <n v="0"/>
    <n v="5.800579312967721"/>
    <x v="1"/>
  </r>
  <r>
    <n v="112"/>
    <x v="11"/>
    <n v="40.93"/>
    <n v="82200"/>
    <n v="108000"/>
    <n v="0"/>
    <s v="35 to 44"/>
    <n v="335000"/>
    <n v="275000"/>
    <n v="360"/>
    <x v="4"/>
    <x v="100"/>
    <x v="0"/>
    <x v="0"/>
    <n v="82.089552238805979"/>
    <n v="20"/>
    <n v="360"/>
    <n v="0"/>
    <n v="3.7163359347464731"/>
    <x v="1"/>
  </r>
  <r>
    <n v="113"/>
    <x v="1"/>
    <n v="57.94"/>
    <n v="75300"/>
    <n v="37000"/>
    <n v="0"/>
    <s v="35 to 44"/>
    <n v="305000"/>
    <n v="195000"/>
    <n v="360"/>
    <x v="1"/>
    <x v="101"/>
    <x v="0"/>
    <x v="0"/>
    <n v="63.934426229508205"/>
    <n v="20"/>
    <n v="360"/>
    <n v="0"/>
    <n v="3.437630205549965"/>
    <x v="0"/>
  </r>
  <r>
    <n v="114"/>
    <x v="7"/>
    <n v="40.15"/>
    <n v="96500"/>
    <n v="160000"/>
    <n v="0"/>
    <s v="35 to 44"/>
    <n v="635000"/>
    <n v="495000"/>
    <n v="360"/>
    <x v="4"/>
    <x v="102"/>
    <x v="0"/>
    <x v="0"/>
    <n v="77.952755905511808"/>
    <n v="28"/>
    <n v="360"/>
    <n v="0"/>
    <n v="5.240342688546562"/>
    <x v="0"/>
  </r>
  <r>
    <n v="115"/>
    <x v="19"/>
    <n v="12.95"/>
    <n v="89100"/>
    <n v="231000"/>
    <n v="0"/>
    <s v="35 to 44"/>
    <n v="1465000"/>
    <n v="505000"/>
    <n v="360"/>
    <x v="3"/>
    <x v="103"/>
    <x v="0"/>
    <x v="1"/>
    <n v="34.470989761092156"/>
    <n v="28"/>
    <n v="360"/>
    <n v="0"/>
    <n v="3.8057747503942858"/>
    <x v="0"/>
  </r>
  <r>
    <n v="116"/>
    <x v="32"/>
    <n v="20.13"/>
    <n v="99100"/>
    <n v="130000"/>
    <n v="0"/>
    <s v="35 to 44"/>
    <n v="395000"/>
    <n v="305000"/>
    <n v="360"/>
    <x v="0"/>
    <x v="10"/>
    <x v="0"/>
    <x v="0"/>
    <n v="77.215189873417728"/>
    <n v="45"/>
    <n v="360"/>
    <n v="0"/>
    <n v="5.1735983925131785"/>
    <x v="0"/>
  </r>
  <r>
    <n v="117"/>
    <x v="8"/>
    <n v="25.37"/>
    <n v="84800"/>
    <n v="281000"/>
    <n v="0"/>
    <s v="35 to 44"/>
    <n v="525000"/>
    <n v="425000"/>
    <n v="360"/>
    <x v="0"/>
    <x v="104"/>
    <x v="0"/>
    <x v="0"/>
    <n v="80.952380952380949"/>
    <n v="29"/>
    <n v="360"/>
    <n v="0"/>
    <n v="4.3370766083990127"/>
    <x v="1"/>
  </r>
  <r>
    <n v="118"/>
    <x v="6"/>
    <n v="16.329999999999998"/>
    <n v="81700"/>
    <n v="218000"/>
    <n v="0"/>
    <s v="35 to 44"/>
    <n v="655000"/>
    <n v="465000"/>
    <n v="240"/>
    <x v="3"/>
    <x v="105"/>
    <x v="0"/>
    <x v="0"/>
    <n v="70.992366412213741"/>
    <n v="37"/>
    <n v="240"/>
    <n v="0"/>
    <n v="5.5895054360069665"/>
    <x v="0"/>
  </r>
  <r>
    <n v="119"/>
    <x v="17"/>
    <n v="12.84"/>
    <n v="82600"/>
    <n v="85000"/>
    <n v="0"/>
    <s v="35 to 44"/>
    <n v="225000"/>
    <n v="145000"/>
    <n v="360"/>
    <x v="3"/>
    <x v="106"/>
    <x v="0"/>
    <x v="0"/>
    <n v="64.444444444444443"/>
    <n v="17"/>
    <n v="360"/>
    <n v="0"/>
    <n v="4.1868318591518427"/>
    <x v="0"/>
  </r>
  <r>
    <n v="120"/>
    <x v="26"/>
    <n v="15.21"/>
    <n v="65000"/>
    <n v="67000"/>
    <n v="0"/>
    <s v="35 to 44"/>
    <n v="265000"/>
    <n v="215000"/>
    <n v="360"/>
    <x v="3"/>
    <x v="107"/>
    <x v="0"/>
    <x v="0"/>
    <n v="81.132075471698116"/>
    <n v="37"/>
    <n v="360"/>
    <n v="0"/>
    <n v="4.2479392347194285"/>
    <x v="1"/>
  </r>
  <r>
    <n v="121"/>
    <x v="26"/>
    <n v="83.41"/>
    <n v="68300"/>
    <n v="112000"/>
    <n v="1"/>
    <s v="35 to 44"/>
    <n v="575000"/>
    <n v="445000"/>
    <n v="360"/>
    <x v="1"/>
    <x v="108"/>
    <x v="0"/>
    <x v="0"/>
    <n v="77.391304347826079"/>
    <n v="37"/>
    <n v="360"/>
    <n v="1"/>
    <n v="4.4526687020661457"/>
    <x v="0"/>
  </r>
  <r>
    <n v="122"/>
    <x v="18"/>
    <n v="24.87"/>
    <n v="77800"/>
    <n v="175000"/>
    <n v="0"/>
    <s v="35 to 44"/>
    <n v="415000"/>
    <n v="285000"/>
    <n v="360"/>
    <x v="0"/>
    <x v="109"/>
    <x v="0"/>
    <x v="0"/>
    <n v="68.674698795180717"/>
    <n v="23"/>
    <n v="360"/>
    <n v="0"/>
    <n v="3.9010284786525919"/>
    <x v="0"/>
  </r>
  <r>
    <n v="123"/>
    <x v="1"/>
    <n v="80.94"/>
    <n v="92700"/>
    <n v="91000"/>
    <n v="0"/>
    <s v="35 to 44"/>
    <n v="715000"/>
    <n v="225000"/>
    <n v="180"/>
    <x v="1"/>
    <x v="110"/>
    <x v="1"/>
    <x v="0"/>
    <n v="31.46853146853147"/>
    <n v="28"/>
    <n v="180"/>
    <n v="0"/>
    <n v="3.3295746903391743"/>
    <x v="0"/>
  </r>
  <r>
    <n v="124"/>
    <x v="4"/>
    <n v="19.3"/>
    <n v="85200"/>
    <n v="85000"/>
    <n v="0"/>
    <s v="35 to 44"/>
    <n v="255000"/>
    <n v="235000"/>
    <n v="360"/>
    <x v="3"/>
    <x v="111"/>
    <x v="0"/>
    <x v="0"/>
    <n v="92.156862745098039"/>
    <n v="33"/>
    <n v="360"/>
    <n v="0"/>
    <n v="5.5440927827487485"/>
    <x v="1"/>
  </r>
  <r>
    <n v="125"/>
    <x v="33"/>
    <n v="15.38"/>
    <n v="74000"/>
    <n v="126000"/>
    <n v="0"/>
    <s v="35 to 44"/>
    <n v="205000"/>
    <n v="165000"/>
    <n v="240"/>
    <x v="3"/>
    <x v="112"/>
    <x v="0"/>
    <x v="0"/>
    <n v="80.487804878048792"/>
    <n v="32"/>
    <n v="240"/>
    <n v="0"/>
    <n v="3.6899331551116896"/>
    <x v="1"/>
  </r>
  <r>
    <n v="126"/>
    <x v="12"/>
    <n v="16.8"/>
    <n v="70700"/>
    <n v="62000"/>
    <n v="1"/>
    <s v="35 to 44"/>
    <n v="305000"/>
    <n v="275000"/>
    <n v="360"/>
    <x v="3"/>
    <x v="113"/>
    <x v="0"/>
    <x v="0"/>
    <n v="90.163934426229503"/>
    <n v="39"/>
    <n v="360"/>
    <n v="1"/>
    <n v="6.0594971508581983"/>
    <x v="1"/>
  </r>
  <r>
    <n v="127"/>
    <x v="10"/>
    <n v="6.53"/>
    <n v="79700"/>
    <n v="56000"/>
    <n v="0"/>
    <s v="35 to 44"/>
    <n v="325000"/>
    <n v="235000"/>
    <n v="360"/>
    <x v="5"/>
    <x v="114"/>
    <x v="0"/>
    <x v="0"/>
    <n v="72.307692307692307"/>
    <n v="27"/>
    <n v="360"/>
    <n v="0"/>
    <n v="4.5537918783214524"/>
    <x v="0"/>
  </r>
  <r>
    <n v="128"/>
    <x v="0"/>
    <n v="11.83"/>
    <n v="86300"/>
    <n v="67000"/>
    <n v="0"/>
    <s v="35 to 44"/>
    <n v="425000"/>
    <n v="335000"/>
    <n v="360"/>
    <x v="3"/>
    <x v="115"/>
    <x v="0"/>
    <x v="0"/>
    <n v="78.82352941176471"/>
    <n v="29"/>
    <n v="360"/>
    <n v="0"/>
    <n v="4.2393159929041797"/>
    <x v="0"/>
  </r>
  <r>
    <n v="129"/>
    <x v="0"/>
    <n v="37.630000000000003"/>
    <n v="106900"/>
    <n v="69000"/>
    <n v="0"/>
    <s v="35 to 44"/>
    <n v="445000"/>
    <n v="325000"/>
    <n v="360"/>
    <x v="2"/>
    <x v="116"/>
    <x v="0"/>
    <x v="0"/>
    <n v="73.033707865168537"/>
    <n v="30"/>
    <n v="360"/>
    <n v="0"/>
    <n v="5.0735053999890223"/>
    <x v="0"/>
  </r>
  <r>
    <n v="130"/>
    <x v="34"/>
    <n v="90.31"/>
    <n v="79400"/>
    <n v="374000"/>
    <n v="1"/>
    <s v="35 to 44"/>
    <n v="115000"/>
    <n v="95000"/>
    <n v="360"/>
    <x v="1"/>
    <x v="40"/>
    <x v="0"/>
    <x v="0"/>
    <n v="82.608695652173907"/>
    <n v="25"/>
    <n v="360"/>
    <n v="1"/>
    <n v="5.6063325578245831"/>
    <x v="1"/>
  </r>
  <r>
    <n v="131"/>
    <x v="1"/>
    <n v="78.83"/>
    <n v="83300"/>
    <n v="302000"/>
    <n v="0"/>
    <s v="35 to 44"/>
    <n v="635000"/>
    <n v="355000"/>
    <n v="360"/>
    <x v="1"/>
    <x v="117"/>
    <x v="0"/>
    <x v="1"/>
    <n v="55.905511811023622"/>
    <n v="32"/>
    <n v="360"/>
    <n v="0"/>
    <n v="5.2895326466196675"/>
    <x v="0"/>
  </r>
  <r>
    <n v="132"/>
    <x v="1"/>
    <n v="24.95"/>
    <n v="97800"/>
    <n v="222000"/>
    <n v="1"/>
    <s v="35 to 44"/>
    <n v="1105000"/>
    <n v="715000"/>
    <n v="360"/>
    <x v="0"/>
    <x v="60"/>
    <x v="0"/>
    <x v="0"/>
    <n v="64.705882352941174"/>
    <n v="8"/>
    <n v="360"/>
    <n v="1"/>
    <n v="5.0876205646688248"/>
    <x v="0"/>
  </r>
  <r>
    <n v="133"/>
    <x v="33"/>
    <n v="15.38"/>
    <n v="74000"/>
    <n v="162000"/>
    <n v="0"/>
    <s v="35 to 44"/>
    <n v="495000"/>
    <n v="395000"/>
    <n v="360"/>
    <x v="3"/>
    <x v="118"/>
    <x v="0"/>
    <x v="0"/>
    <n v="79.797979797979806"/>
    <n v="37"/>
    <n v="360"/>
    <n v="0"/>
    <n v="5.3166123405709511"/>
    <x v="0"/>
  </r>
  <r>
    <n v="134"/>
    <x v="13"/>
    <n v="17.350000000000001"/>
    <n v="102800"/>
    <n v="27000"/>
    <n v="0"/>
    <s v="35 to 44"/>
    <n v="325000"/>
    <n v="125000"/>
    <n v="360"/>
    <x v="3"/>
    <x v="119"/>
    <x v="0"/>
    <x v="0"/>
    <n v="38.461538461538467"/>
    <n v="30"/>
    <n v="360"/>
    <n v="0"/>
    <n v="3.6766723626060274"/>
    <x v="0"/>
  </r>
  <r>
    <n v="135"/>
    <x v="14"/>
    <n v="18.28"/>
    <n v="71400"/>
    <n v="277000"/>
    <n v="0"/>
    <s v="35 to 44"/>
    <n v="145000"/>
    <n v="115000"/>
    <n v="360"/>
    <x v="3"/>
    <x v="120"/>
    <x v="0"/>
    <x v="1"/>
    <n v="79.310344827586206"/>
    <n v="27"/>
    <n v="360"/>
    <n v="0"/>
    <n v="4.6979450262564662"/>
    <x v="0"/>
  </r>
  <r>
    <n v="136"/>
    <x v="3"/>
    <n v="9.9700000000000006"/>
    <n v="124900"/>
    <n v="94000"/>
    <n v="0"/>
    <s v="35 to 44"/>
    <n v="545000"/>
    <n v="385000"/>
    <n v="360"/>
    <x v="5"/>
    <x v="121"/>
    <x v="0"/>
    <x v="0"/>
    <n v="70.642201834862391"/>
    <n v="44"/>
    <n v="360"/>
    <n v="0"/>
    <n v="4.0611461935166373"/>
    <x v="0"/>
  </r>
  <r>
    <n v="137"/>
    <x v="35"/>
    <n v="8.75"/>
    <n v="79600"/>
    <n v="55000"/>
    <n v="0"/>
    <s v="35 to 44"/>
    <n v="275000"/>
    <n v="125000"/>
    <n v="360"/>
    <x v="5"/>
    <x v="15"/>
    <x v="0"/>
    <x v="0"/>
    <n v="45.454545454545453"/>
    <n v="55"/>
    <n v="360"/>
    <n v="0"/>
    <n v="4.3894205056637912"/>
    <x v="0"/>
  </r>
  <r>
    <n v="138"/>
    <x v="3"/>
    <n v="16.96"/>
    <n v="83400"/>
    <n v="143000"/>
    <n v="0"/>
    <s v="35 to 44"/>
    <n v="405000"/>
    <n v="355000"/>
    <n v="360"/>
    <x v="3"/>
    <x v="122"/>
    <x v="0"/>
    <x v="0"/>
    <n v="87.654320987654316"/>
    <n v="20"/>
    <n v="360"/>
    <n v="0"/>
    <n v="4.925812619831647"/>
    <x v="1"/>
  </r>
  <r>
    <n v="139"/>
    <x v="7"/>
    <n v="8.77"/>
    <n v="83700"/>
    <n v="83000"/>
    <n v="0"/>
    <s v="35 to 44"/>
    <n v="185000"/>
    <n v="85000"/>
    <n v="360"/>
    <x v="5"/>
    <x v="123"/>
    <x v="0"/>
    <x v="0"/>
    <n v="45.945945945945951"/>
    <n v="34"/>
    <n v="360"/>
    <n v="0"/>
    <n v="5.0129317358355667"/>
    <x v="0"/>
  </r>
  <r>
    <n v="140"/>
    <x v="13"/>
    <n v="76.5"/>
    <n v="102800"/>
    <n v="115000"/>
    <n v="0"/>
    <s v="35 to 44"/>
    <n v="505000"/>
    <n v="275000"/>
    <n v="360"/>
    <x v="1"/>
    <x v="124"/>
    <x v="0"/>
    <x v="0"/>
    <n v="54.455445544554458"/>
    <n v="20"/>
    <n v="360"/>
    <n v="0"/>
    <n v="4.986131224378255"/>
    <x v="0"/>
  </r>
  <r>
    <n v="141"/>
    <x v="7"/>
    <n v="97.18"/>
    <n v="96500"/>
    <n v="111000"/>
    <n v="0"/>
    <s v="35 to 44"/>
    <n v="715000"/>
    <n v="485000"/>
    <n v="360"/>
    <x v="1"/>
    <x v="125"/>
    <x v="0"/>
    <x v="0"/>
    <n v="67.832167832167841"/>
    <n v="33.443836177667201"/>
    <n v="360"/>
    <n v="0"/>
    <n v="5.3650130978157922"/>
    <x v="0"/>
  </r>
  <r>
    <n v="142"/>
    <x v="1"/>
    <n v="31.13"/>
    <n v="127900"/>
    <n v="199000"/>
    <n v="0"/>
    <s v="35 to 44"/>
    <n v="705000"/>
    <n v="555000"/>
    <n v="360"/>
    <x v="2"/>
    <x v="97"/>
    <x v="0"/>
    <x v="0"/>
    <n v="78.723404255319153"/>
    <n v="37"/>
    <n v="360"/>
    <n v="0"/>
    <n v="5.5132434300444224"/>
    <x v="0"/>
  </r>
  <r>
    <n v="143"/>
    <x v="9"/>
    <n v="16.149999999999999"/>
    <n v="114000"/>
    <n v="123000"/>
    <n v="0"/>
    <s v="35 to 44"/>
    <n v="605000"/>
    <n v="335000"/>
    <n v="360"/>
    <x v="3"/>
    <x v="126"/>
    <x v="0"/>
    <x v="0"/>
    <n v="55.371900826446286"/>
    <n v="39"/>
    <n v="360"/>
    <n v="0"/>
    <n v="4.4858897127587767"/>
    <x v="0"/>
  </r>
  <r>
    <n v="144"/>
    <x v="12"/>
    <n v="14.24"/>
    <n v="87500"/>
    <n v="87000"/>
    <n v="0"/>
    <s v="35 to 44"/>
    <n v="485000"/>
    <n v="285000"/>
    <n v="360"/>
    <x v="3"/>
    <x v="127"/>
    <x v="0"/>
    <x v="0"/>
    <n v="58.762886597938149"/>
    <n v="43"/>
    <n v="360"/>
    <n v="0"/>
    <n v="5.0798836056634107"/>
    <x v="0"/>
  </r>
  <r>
    <n v="145"/>
    <x v="35"/>
    <n v="11.74"/>
    <n v="81300"/>
    <n v="95000"/>
    <n v="0"/>
    <s v="35 to 44"/>
    <n v="145000"/>
    <n v="75000"/>
    <n v="180"/>
    <x v="3"/>
    <x v="128"/>
    <x v="1"/>
    <x v="0"/>
    <n v="51.724137931034484"/>
    <n v="38"/>
    <n v="180"/>
    <n v="0"/>
    <n v="4.2766478732216973"/>
    <x v="0"/>
  </r>
  <r>
    <n v="146"/>
    <x v="1"/>
    <n v="70.38"/>
    <n v="83300"/>
    <n v="127000"/>
    <n v="0"/>
    <s v="35 to 44"/>
    <n v="805000"/>
    <n v="155000"/>
    <n v="360"/>
    <x v="1"/>
    <x v="129"/>
    <x v="0"/>
    <x v="0"/>
    <n v="19.254658385093169"/>
    <n v="15"/>
    <n v="360"/>
    <n v="0"/>
    <n v="3.3866661939402887"/>
    <x v="0"/>
  </r>
  <r>
    <n v="147"/>
    <x v="26"/>
    <n v="40.75"/>
    <n v="68300"/>
    <n v="101000"/>
    <n v="0"/>
    <s v="35 to 44"/>
    <n v="515000"/>
    <n v="375000"/>
    <n v="360"/>
    <x v="4"/>
    <x v="130"/>
    <x v="0"/>
    <x v="0"/>
    <n v="72.815533980582529"/>
    <n v="28"/>
    <n v="360"/>
    <n v="0"/>
    <n v="3.8647168765169964"/>
    <x v="0"/>
  </r>
  <r>
    <n v="148"/>
    <x v="1"/>
    <n v="36.35"/>
    <n v="86700"/>
    <n v="179000"/>
    <n v="0"/>
    <s v="35 to 44"/>
    <n v="775000"/>
    <n v="385000"/>
    <n v="360"/>
    <x v="2"/>
    <x v="131"/>
    <x v="0"/>
    <x v="0"/>
    <n v="49.677419354838712"/>
    <n v="15"/>
    <n v="360"/>
    <n v="0"/>
    <n v="3.2368964114147332"/>
    <x v="0"/>
  </r>
  <r>
    <n v="149"/>
    <x v="6"/>
    <n v="10.17"/>
    <n v="100000"/>
    <n v="180000"/>
    <n v="0"/>
    <s v="35 to 44"/>
    <n v="705000"/>
    <n v="495000"/>
    <n v="360"/>
    <x v="3"/>
    <x v="132"/>
    <x v="0"/>
    <x v="0"/>
    <n v="70.212765957446805"/>
    <n v="16"/>
    <n v="360"/>
    <n v="0"/>
    <n v="5.2861945933741614"/>
    <x v="0"/>
  </r>
  <r>
    <n v="150"/>
    <x v="13"/>
    <n v="8.26"/>
    <n v="102800"/>
    <n v="50000"/>
    <n v="0"/>
    <s v="35 to 44"/>
    <n v="215000"/>
    <n v="155000"/>
    <n v="180"/>
    <x v="5"/>
    <x v="20"/>
    <x v="1"/>
    <x v="0"/>
    <n v="72.093023255813947"/>
    <n v="21"/>
    <n v="180"/>
    <n v="0"/>
    <n v="4.445240232283922"/>
    <x v="0"/>
  </r>
  <r>
    <n v="151"/>
    <x v="19"/>
    <n v="7.45"/>
    <n v="89100"/>
    <n v="174000"/>
    <n v="0"/>
    <s v="35 to 44"/>
    <n v="275000"/>
    <n v="145000"/>
    <n v="180"/>
    <x v="5"/>
    <x v="133"/>
    <x v="1"/>
    <x v="0"/>
    <n v="52.72727272727272"/>
    <n v="24"/>
    <n v="180"/>
    <n v="0"/>
    <n v="3.4177909180688792"/>
    <x v="0"/>
  </r>
  <r>
    <n v="152"/>
    <x v="6"/>
    <n v="8.81"/>
    <n v="95900"/>
    <n v="310000"/>
    <n v="0"/>
    <s v="35 to 44"/>
    <n v="675000"/>
    <n v="525000"/>
    <n v="360"/>
    <x v="5"/>
    <x v="80"/>
    <x v="0"/>
    <x v="1"/>
    <n v="77.777777777777786"/>
    <n v="20"/>
    <n v="360"/>
    <n v="0"/>
    <n v="3.8328358406225833"/>
    <x v="0"/>
  </r>
  <r>
    <n v="153"/>
    <x v="4"/>
    <n v="5.26"/>
    <n v="70300"/>
    <n v="56000"/>
    <n v="0"/>
    <s v="35 to 44"/>
    <n v="175000"/>
    <n v="125000"/>
    <n v="180"/>
    <x v="5"/>
    <x v="56"/>
    <x v="1"/>
    <x v="0"/>
    <n v="71.428571428571431"/>
    <n v="24"/>
    <n v="180"/>
    <n v="0"/>
    <n v="4.0722963122890841"/>
    <x v="0"/>
  </r>
  <r>
    <n v="154"/>
    <x v="7"/>
    <n v="4.96"/>
    <n v="75800"/>
    <n v="127000"/>
    <n v="1"/>
    <s v="35 to 44"/>
    <n v="285000"/>
    <n v="235000"/>
    <n v="360"/>
    <x v="5"/>
    <x v="99"/>
    <x v="0"/>
    <x v="0"/>
    <n v="82.456140350877192"/>
    <n v="27"/>
    <n v="360"/>
    <n v="1"/>
    <n v="4.7334828430222551"/>
    <x v="1"/>
  </r>
  <r>
    <n v="155"/>
    <x v="35"/>
    <n v="3.34"/>
    <n v="65300"/>
    <n v="119000"/>
    <n v="0"/>
    <s v="35 to 44"/>
    <n v="195000"/>
    <n v="185000"/>
    <n v="240"/>
    <x v="5"/>
    <x v="134"/>
    <x v="0"/>
    <x v="0"/>
    <n v="94.871794871794862"/>
    <n v="31"/>
    <n v="240"/>
    <n v="0"/>
    <n v="4.1231395286815591"/>
    <x v="1"/>
  </r>
  <r>
    <n v="156"/>
    <x v="31"/>
    <n v="3.98"/>
    <n v="71700"/>
    <n v="115000"/>
    <n v="0"/>
    <s v="35 to 44"/>
    <n v="285000"/>
    <n v="235000"/>
    <n v="360"/>
    <x v="5"/>
    <x v="99"/>
    <x v="0"/>
    <x v="0"/>
    <n v="82.456140350877192"/>
    <n v="32"/>
    <n v="360"/>
    <n v="0"/>
    <n v="4.6965433484635257"/>
    <x v="1"/>
  </r>
  <r>
    <n v="157"/>
    <x v="11"/>
    <n v="46.31"/>
    <n v="52300"/>
    <n v="139000"/>
    <n v="0"/>
    <s v="35 to 44"/>
    <n v="265000"/>
    <n v="165000"/>
    <n v="240"/>
    <x v="4"/>
    <x v="135"/>
    <x v="0"/>
    <x v="0"/>
    <n v="62.264150943396224"/>
    <n v="36"/>
    <n v="240"/>
    <n v="0"/>
    <n v="4.917445995310862"/>
    <x v="0"/>
  </r>
  <r>
    <n v="158"/>
    <x v="13"/>
    <n v="6.86"/>
    <n v="102800"/>
    <n v="132000"/>
    <n v="0"/>
    <s v="35 to 44"/>
    <n v="635000"/>
    <n v="385000"/>
    <n v="360"/>
    <x v="5"/>
    <x v="136"/>
    <x v="0"/>
    <x v="0"/>
    <n v="60.629921259842526"/>
    <n v="37"/>
    <n v="360"/>
    <n v="0"/>
    <n v="4.9411646674701801"/>
    <x v="0"/>
  </r>
  <r>
    <n v="159"/>
    <x v="1"/>
    <n v="28.14"/>
    <n v="52900"/>
    <n v="48000"/>
    <n v="0"/>
    <s v="35 to 44"/>
    <n v="655000"/>
    <n v="305000"/>
    <n v="360"/>
    <x v="0"/>
    <x v="137"/>
    <x v="0"/>
    <x v="0"/>
    <n v="46.564885496183209"/>
    <n v="39"/>
    <n v="360"/>
    <n v="0"/>
    <n v="4.0468590619259359"/>
    <x v="0"/>
  </r>
  <r>
    <n v="160"/>
    <x v="6"/>
    <n v="12.96"/>
    <n v="99400"/>
    <n v="190000"/>
    <n v="0"/>
    <s v="35 to 44"/>
    <n v="615000"/>
    <n v="435000"/>
    <n v="360"/>
    <x v="3"/>
    <x v="138"/>
    <x v="0"/>
    <x v="0"/>
    <n v="70.731707317073173"/>
    <n v="40"/>
    <n v="360"/>
    <n v="0"/>
    <n v="5.4914198374161707"/>
    <x v="0"/>
  </r>
  <r>
    <n v="161"/>
    <x v="4"/>
    <n v="7.71"/>
    <n v="85200"/>
    <n v="78000"/>
    <n v="0"/>
    <s v="35 to 44"/>
    <n v="235000"/>
    <n v="165000"/>
    <n v="120"/>
    <x v="5"/>
    <x v="132"/>
    <x v="1"/>
    <x v="0"/>
    <n v="70.212765957446805"/>
    <n v="42"/>
    <n v="120"/>
    <n v="0"/>
    <n v="4.6394240713937984"/>
    <x v="0"/>
  </r>
  <r>
    <n v="162"/>
    <x v="19"/>
    <n v="42.02"/>
    <n v="89100"/>
    <n v="96000"/>
    <n v="0"/>
    <s v="35 to 44"/>
    <n v="315000"/>
    <n v="205000"/>
    <n v="360"/>
    <x v="4"/>
    <x v="139"/>
    <x v="0"/>
    <x v="0"/>
    <n v="65.079365079365076"/>
    <n v="46"/>
    <n v="360"/>
    <n v="0"/>
    <n v="5.6069432705858704"/>
    <x v="0"/>
  </r>
  <r>
    <n v="163"/>
    <x v="1"/>
    <n v="75.540000000000006"/>
    <n v="127900"/>
    <n v="82000"/>
    <n v="0"/>
    <s v="35 to 44"/>
    <n v="965000"/>
    <n v="305000"/>
    <n v="360"/>
    <x v="1"/>
    <x v="140"/>
    <x v="0"/>
    <x v="0"/>
    <n v="31.606217616580313"/>
    <n v="22"/>
    <n v="360"/>
    <n v="0"/>
    <n v="3.4912246673146914"/>
    <x v="0"/>
  </r>
  <r>
    <n v="164"/>
    <x v="1"/>
    <n v="29.6"/>
    <n v="83300"/>
    <n v="112000"/>
    <n v="0"/>
    <s v="35 to 44"/>
    <n v="1005000"/>
    <n v="575000"/>
    <n v="360"/>
    <x v="0"/>
    <x v="141"/>
    <x v="0"/>
    <x v="0"/>
    <n v="57.2139303482587"/>
    <n v="24"/>
    <n v="360"/>
    <n v="0"/>
    <n v="4.3301311725648004"/>
    <x v="0"/>
  </r>
  <r>
    <n v="165"/>
    <x v="26"/>
    <n v="65.92"/>
    <n v="68100"/>
    <n v="177000"/>
    <n v="0"/>
    <s v="35 to 44"/>
    <n v="385000"/>
    <n v="225000"/>
    <n v="360"/>
    <x v="1"/>
    <x v="142"/>
    <x v="0"/>
    <x v="0"/>
    <n v="58.441558441558442"/>
    <n v="35"/>
    <n v="360"/>
    <n v="0"/>
    <n v="4.4602044703721324"/>
    <x v="0"/>
  </r>
  <r>
    <n v="166"/>
    <x v="15"/>
    <n v="16.649999999999999"/>
    <n v="70600"/>
    <n v="96000"/>
    <n v="0"/>
    <s v="35 to 44"/>
    <n v="345000"/>
    <n v="275000"/>
    <n v="360"/>
    <x v="3"/>
    <x v="143"/>
    <x v="0"/>
    <x v="0"/>
    <n v="79.710144927536234"/>
    <n v="36"/>
    <n v="360"/>
    <n v="0"/>
    <n v="5.8561473351000979"/>
    <x v="0"/>
  </r>
  <r>
    <n v="167"/>
    <x v="17"/>
    <n v="8.58"/>
    <n v="56100"/>
    <n v="34000"/>
    <n v="1"/>
    <s v="35 to 44"/>
    <n v="145000"/>
    <n v="115000"/>
    <n v="360"/>
    <x v="5"/>
    <x v="120"/>
    <x v="0"/>
    <x v="0"/>
    <n v="79.310344827586206"/>
    <n v="36"/>
    <n v="360"/>
    <n v="1"/>
    <n v="4.3285406514836691"/>
    <x v="0"/>
  </r>
  <r>
    <n v="168"/>
    <x v="13"/>
    <n v="12.11"/>
    <n v="102800"/>
    <n v="240000"/>
    <n v="0"/>
    <s v="35 to 44"/>
    <n v="905000"/>
    <n v="375000"/>
    <n v="360"/>
    <x v="3"/>
    <x v="144"/>
    <x v="0"/>
    <x v="1"/>
    <n v="41.436464088397791"/>
    <n v="33.443836177667201"/>
    <n v="360"/>
    <n v="0"/>
    <n v="4.7919417271504905"/>
    <x v="0"/>
  </r>
  <r>
    <n v="169"/>
    <x v="10"/>
    <n v="5.68"/>
    <n v="80600"/>
    <n v="77000"/>
    <n v="0"/>
    <s v="35 to 44"/>
    <n v="235000"/>
    <n v="135000"/>
    <n v="180"/>
    <x v="5"/>
    <x v="145"/>
    <x v="1"/>
    <x v="0"/>
    <n v="57.446808510638306"/>
    <n v="17"/>
    <n v="180"/>
    <n v="0"/>
    <n v="4.9974859183679046"/>
    <x v="0"/>
  </r>
  <r>
    <n v="170"/>
    <x v="1"/>
    <n v="60.7"/>
    <n v="69300"/>
    <n v="71000"/>
    <n v="0"/>
    <s v="35 to 44"/>
    <n v="255000"/>
    <n v="145000"/>
    <n v="180"/>
    <x v="1"/>
    <x v="17"/>
    <x v="1"/>
    <x v="0"/>
    <n v="56.862745098039213"/>
    <n v="22"/>
    <n v="180"/>
    <n v="0"/>
    <n v="4.2775612048482206"/>
    <x v="0"/>
  </r>
  <r>
    <n v="171"/>
    <x v="7"/>
    <n v="45.13"/>
    <n v="96500"/>
    <n v="108000"/>
    <n v="0"/>
    <s v="35 to 44"/>
    <n v="415000"/>
    <n v="395000"/>
    <n v="360"/>
    <x v="4"/>
    <x v="146"/>
    <x v="0"/>
    <x v="0"/>
    <n v="95.180722891566262"/>
    <n v="13"/>
    <n v="360"/>
    <n v="0"/>
    <n v="3.6092707413672853"/>
    <x v="1"/>
  </r>
  <r>
    <n v="172"/>
    <x v="21"/>
    <n v="11.31"/>
    <n v="86900"/>
    <n v="233000"/>
    <n v="0"/>
    <s v="35 to 44"/>
    <n v="335000"/>
    <n v="265000"/>
    <n v="360"/>
    <x v="3"/>
    <x v="147"/>
    <x v="0"/>
    <x v="1"/>
    <n v="79.104477611940297"/>
    <n v="53"/>
    <n v="360"/>
    <n v="0"/>
    <n v="5.3823150266314173"/>
    <x v="0"/>
  </r>
  <r>
    <n v="173"/>
    <x v="19"/>
    <n v="19.309999999999999"/>
    <n v="89100"/>
    <n v="176000"/>
    <n v="1"/>
    <s v="35 to 44"/>
    <n v="375000"/>
    <n v="355000"/>
    <n v="360"/>
    <x v="3"/>
    <x v="148"/>
    <x v="0"/>
    <x v="0"/>
    <n v="94.666666666666671"/>
    <n v="14"/>
    <n v="360"/>
    <n v="1"/>
    <n v="4.1861390912266963"/>
    <x v="1"/>
  </r>
  <r>
    <n v="174"/>
    <x v="8"/>
    <n v="77.16"/>
    <n v="84800"/>
    <n v="120000"/>
    <n v="0"/>
    <s v="35 to 44"/>
    <n v="225000"/>
    <n v="165000"/>
    <n v="180"/>
    <x v="1"/>
    <x v="149"/>
    <x v="1"/>
    <x v="0"/>
    <n v="73.333333333333329"/>
    <n v="10"/>
    <n v="180"/>
    <n v="0"/>
    <n v="3.5923312877511044"/>
    <x v="0"/>
  </r>
  <r>
    <n v="175"/>
    <x v="8"/>
    <n v="15.97"/>
    <n v="97600"/>
    <n v="200000"/>
    <n v="0"/>
    <s v="35 to 44"/>
    <n v="565000"/>
    <n v="445000"/>
    <n v="360"/>
    <x v="3"/>
    <x v="22"/>
    <x v="0"/>
    <x v="0"/>
    <n v="78.761061946902657"/>
    <n v="16"/>
    <n v="360"/>
    <n v="0"/>
    <n v="5.2918416482637465"/>
    <x v="0"/>
  </r>
  <r>
    <n v="176"/>
    <x v="6"/>
    <n v="9.74"/>
    <n v="84300"/>
    <n v="115000"/>
    <n v="1"/>
    <s v="35 to 44"/>
    <n v="485000"/>
    <n v="335000"/>
    <n v="360"/>
    <x v="5"/>
    <x v="150"/>
    <x v="0"/>
    <x v="0"/>
    <n v="69.072164948453604"/>
    <n v="33"/>
    <n v="360"/>
    <n v="1"/>
    <n v="5.7823081974832284"/>
    <x v="0"/>
  </r>
  <r>
    <n v="177"/>
    <x v="1"/>
    <n v="12.91"/>
    <n v="71600"/>
    <n v="179000"/>
    <n v="0"/>
    <s v="35 to 44"/>
    <n v="315000"/>
    <n v="235000"/>
    <n v="360"/>
    <x v="3"/>
    <x v="151"/>
    <x v="0"/>
    <x v="0"/>
    <n v="74.603174603174608"/>
    <n v="33.443836177667201"/>
    <n v="360"/>
    <n v="0"/>
    <n v="4.3715514316165427"/>
    <x v="0"/>
  </r>
  <r>
    <n v="178"/>
    <x v="36"/>
    <n v="3.56"/>
    <n v="86200"/>
    <n v="132000"/>
    <n v="0"/>
    <s v="35 to 44"/>
    <n v="775000"/>
    <n v="515000"/>
    <n v="360"/>
    <x v="5"/>
    <x v="152"/>
    <x v="0"/>
    <x v="0"/>
    <n v="66.451612903225808"/>
    <n v="16"/>
    <n v="360"/>
    <n v="0"/>
    <n v="3.9467946174997341"/>
    <x v="0"/>
  </r>
  <r>
    <n v="179"/>
    <x v="20"/>
    <n v="7.24"/>
    <n v="91800"/>
    <n v="320000"/>
    <n v="0"/>
    <s v="35 to 44"/>
    <n v="625000"/>
    <n v="355000"/>
    <n v="360"/>
    <x v="5"/>
    <x v="153"/>
    <x v="0"/>
    <x v="1"/>
    <n v="56.8"/>
    <n v="19"/>
    <n v="360"/>
    <n v="0"/>
    <n v="3.8757619546094579"/>
    <x v="0"/>
  </r>
  <r>
    <n v="180"/>
    <x v="7"/>
    <n v="7.6"/>
    <n v="76200"/>
    <n v="143000"/>
    <n v="0"/>
    <s v="35 to 44"/>
    <n v="395000"/>
    <n v="265000"/>
    <n v="360"/>
    <x v="5"/>
    <x v="154"/>
    <x v="0"/>
    <x v="0"/>
    <n v="67.088607594936718"/>
    <n v="33.443836177667201"/>
    <n v="360"/>
    <n v="0"/>
    <n v="4.3981253217123832"/>
    <x v="0"/>
  </r>
  <r>
    <n v="181"/>
    <x v="18"/>
    <n v="9.2200000000000006"/>
    <n v="77800"/>
    <n v="73000"/>
    <n v="0"/>
    <s v="35 to 44"/>
    <n v="705000"/>
    <n v="345000"/>
    <n v="240"/>
    <x v="5"/>
    <x v="155"/>
    <x v="0"/>
    <x v="0"/>
    <n v="48.936170212765958"/>
    <n v="22"/>
    <n v="240"/>
    <n v="0"/>
    <n v="4.2814192256005388"/>
    <x v="0"/>
  </r>
  <r>
    <n v="182"/>
    <x v="0"/>
    <n v="33.07"/>
    <n v="106900"/>
    <n v="125000"/>
    <n v="0"/>
    <s v="35 to 44"/>
    <n v="765000"/>
    <n v="265000"/>
    <n v="180"/>
    <x v="2"/>
    <x v="156"/>
    <x v="1"/>
    <x v="0"/>
    <n v="34.640522875816991"/>
    <n v="30"/>
    <n v="180"/>
    <n v="0"/>
    <n v="4.9571085322632271"/>
    <x v="0"/>
  </r>
  <r>
    <n v="183"/>
    <x v="18"/>
    <n v="14.27"/>
    <n v="77800"/>
    <n v="47000"/>
    <n v="0"/>
    <s v="35 to 44"/>
    <n v="285000"/>
    <n v="155000"/>
    <n v="240"/>
    <x v="3"/>
    <x v="157"/>
    <x v="0"/>
    <x v="0"/>
    <n v="54.385964912280706"/>
    <n v="12"/>
    <n v="240"/>
    <n v="0"/>
    <n v="4.6134635701139519"/>
    <x v="0"/>
  </r>
  <r>
    <n v="184"/>
    <x v="1"/>
    <n v="13.02"/>
    <n v="71600"/>
    <n v="83000"/>
    <n v="0"/>
    <s v="35 to 44"/>
    <n v="265000"/>
    <n v="185000"/>
    <n v="360"/>
    <x v="3"/>
    <x v="158"/>
    <x v="0"/>
    <x v="0"/>
    <n v="69.811320754716974"/>
    <n v="16"/>
    <n v="360"/>
    <n v="0"/>
    <n v="3.5834800311582113"/>
    <x v="0"/>
  </r>
  <r>
    <n v="185"/>
    <x v="30"/>
    <n v="3.38"/>
    <n v="89700"/>
    <n v="106000"/>
    <n v="0"/>
    <s v="35 to 44"/>
    <n v="325000"/>
    <n v="245000"/>
    <n v="360"/>
    <x v="5"/>
    <x v="159"/>
    <x v="0"/>
    <x v="0"/>
    <n v="75.384615384615387"/>
    <n v="38"/>
    <n v="360"/>
    <n v="0"/>
    <n v="5.7670896097907409"/>
    <x v="0"/>
  </r>
  <r>
    <n v="186"/>
    <x v="28"/>
    <n v="6.32"/>
    <n v="94100"/>
    <n v="138000"/>
    <n v="0"/>
    <s v="35 to 44"/>
    <n v="605000"/>
    <n v="285000"/>
    <n v="360"/>
    <x v="5"/>
    <x v="160"/>
    <x v="0"/>
    <x v="0"/>
    <n v="47.107438016528924"/>
    <n v="40"/>
    <n v="360"/>
    <n v="0"/>
    <n v="4.8892297598864136"/>
    <x v="0"/>
  </r>
  <r>
    <n v="187"/>
    <x v="26"/>
    <n v="8.48"/>
    <n v="69200"/>
    <n v="82000"/>
    <n v="0"/>
    <s v="35 to 44"/>
    <n v="265000"/>
    <n v="145000"/>
    <n v="360"/>
    <x v="5"/>
    <x v="161"/>
    <x v="0"/>
    <x v="0"/>
    <n v="54.716981132075468"/>
    <n v="33.443836177667201"/>
    <n v="360"/>
    <n v="0"/>
    <n v="4.3658133044588414"/>
    <x v="0"/>
  </r>
  <r>
    <n v="188"/>
    <x v="21"/>
    <n v="10.23"/>
    <n v="82700"/>
    <n v="148000"/>
    <n v="0"/>
    <s v="35 to 44"/>
    <n v="305000"/>
    <n v="285000"/>
    <n v="360"/>
    <x v="3"/>
    <x v="162"/>
    <x v="0"/>
    <x v="0"/>
    <n v="93.442622950819683"/>
    <n v="34"/>
    <n v="360"/>
    <n v="0"/>
    <n v="4.9105650369306391"/>
    <x v="1"/>
  </r>
  <r>
    <n v="189"/>
    <x v="15"/>
    <n v="13.56"/>
    <n v="92100"/>
    <n v="115000"/>
    <n v="0"/>
    <s v="35 to 44"/>
    <n v="555000"/>
    <n v="295000"/>
    <n v="360"/>
    <x v="3"/>
    <x v="163"/>
    <x v="0"/>
    <x v="0"/>
    <n v="53.153153153153156"/>
    <n v="30"/>
    <n v="360"/>
    <n v="0"/>
    <n v="4.3969331866079076"/>
    <x v="0"/>
  </r>
  <r>
    <n v="190"/>
    <x v="37"/>
    <n v="18.88"/>
    <n v="54100"/>
    <n v="117000"/>
    <n v="0"/>
    <s v="35 to 44"/>
    <n v="265000"/>
    <n v="215000"/>
    <n v="360"/>
    <x v="3"/>
    <x v="107"/>
    <x v="0"/>
    <x v="0"/>
    <n v="81.132075471698116"/>
    <n v="25"/>
    <n v="360"/>
    <n v="0"/>
    <n v="4.736749261464599"/>
    <x v="1"/>
  </r>
  <r>
    <n v="191"/>
    <x v="13"/>
    <n v="4.12"/>
    <n v="102800"/>
    <n v="94000"/>
    <n v="1"/>
    <s v="35 to 44"/>
    <n v="335000"/>
    <n v="265000"/>
    <n v="360"/>
    <x v="5"/>
    <x v="147"/>
    <x v="0"/>
    <x v="0"/>
    <n v="79.104477611940297"/>
    <n v="33.443836177667201"/>
    <n v="360"/>
    <n v="1"/>
    <n v="4.0023997040260175"/>
    <x v="0"/>
  </r>
  <r>
    <n v="192"/>
    <x v="25"/>
    <n v="7.72"/>
    <n v="84300"/>
    <n v="60000"/>
    <n v="0"/>
    <s v="35 to 44"/>
    <n v="275000"/>
    <n v="125000"/>
    <n v="360"/>
    <x v="5"/>
    <x v="15"/>
    <x v="0"/>
    <x v="0"/>
    <n v="45.454545454545453"/>
    <n v="13"/>
    <n v="360"/>
    <n v="0"/>
    <n v="4.0934953296219758"/>
    <x v="0"/>
  </r>
  <r>
    <n v="193"/>
    <x v="9"/>
    <n v="6.93"/>
    <n v="114000"/>
    <n v="126000"/>
    <n v="0"/>
    <s v="35 to 44"/>
    <n v="585000"/>
    <n v="435000"/>
    <n v="360"/>
    <x v="5"/>
    <x v="42"/>
    <x v="0"/>
    <x v="0"/>
    <n v="74.358974358974365"/>
    <n v="16"/>
    <n v="360"/>
    <n v="0"/>
    <n v="4.7956962043907785"/>
    <x v="0"/>
  </r>
  <r>
    <n v="194"/>
    <x v="38"/>
    <n v="35.97"/>
    <n v="69100"/>
    <n v="170000"/>
    <n v="0"/>
    <s v="35 to 44"/>
    <n v="325000"/>
    <n v="255000"/>
    <n v="240"/>
    <x v="2"/>
    <x v="164"/>
    <x v="0"/>
    <x v="0"/>
    <n v="78.461538461538467"/>
    <n v="32"/>
    <n v="240"/>
    <n v="0"/>
    <n v="4.8227410199523781"/>
    <x v="0"/>
  </r>
  <r>
    <n v="195"/>
    <x v="8"/>
    <n v="16.34"/>
    <n v="72200"/>
    <n v="137000"/>
    <n v="0"/>
    <s v="35 to 44"/>
    <n v="465000"/>
    <n v="285000"/>
    <n v="360"/>
    <x v="3"/>
    <x v="92"/>
    <x v="0"/>
    <x v="0"/>
    <n v="61.29032258064516"/>
    <n v="41"/>
    <n v="360"/>
    <n v="0"/>
    <n v="3.8924829493720425"/>
    <x v="0"/>
  </r>
  <r>
    <n v="196"/>
    <x v="14"/>
    <n v="10.89"/>
    <n v="72300"/>
    <n v="41000"/>
    <n v="0"/>
    <s v="35 to 44"/>
    <n v="155000"/>
    <n v="115000"/>
    <n v="360"/>
    <x v="3"/>
    <x v="165"/>
    <x v="0"/>
    <x v="0"/>
    <n v="74.193548387096769"/>
    <n v="33.443836177667201"/>
    <n v="360"/>
    <n v="0"/>
    <n v="5.0846585691356729"/>
    <x v="0"/>
  </r>
  <r>
    <n v="197"/>
    <x v="39"/>
    <n v="7.92"/>
    <n v="89200"/>
    <n v="183000"/>
    <n v="0"/>
    <s v="35 to 44"/>
    <n v="505000"/>
    <n v="275000"/>
    <n v="360"/>
    <x v="5"/>
    <x v="124"/>
    <x v="0"/>
    <x v="0"/>
    <n v="54.455445544554458"/>
    <n v="33.443836177667201"/>
    <n v="360"/>
    <n v="0"/>
    <n v="5.2028403417924611"/>
    <x v="0"/>
  </r>
  <r>
    <n v="198"/>
    <x v="0"/>
    <n v="29.38"/>
    <n v="106900"/>
    <n v="110000"/>
    <n v="0"/>
    <s v="35 to 44"/>
    <n v="445000"/>
    <n v="345000"/>
    <n v="360"/>
    <x v="0"/>
    <x v="36"/>
    <x v="0"/>
    <x v="0"/>
    <n v="77.528089887640448"/>
    <n v="9"/>
    <n v="360"/>
    <n v="0"/>
    <n v="3.8488672863805231"/>
    <x v="0"/>
  </r>
  <r>
    <n v="199"/>
    <x v="5"/>
    <n v="59.59"/>
    <n v="124900"/>
    <n v="93000"/>
    <n v="0"/>
    <s v="35 to 44"/>
    <n v="855000"/>
    <n v="365000"/>
    <n v="360"/>
    <x v="1"/>
    <x v="166"/>
    <x v="0"/>
    <x v="0"/>
    <n v="42.690058479532162"/>
    <n v="31"/>
    <n v="360"/>
    <n v="0"/>
    <n v="4.8053858377935512"/>
    <x v="0"/>
  </r>
  <r>
    <n v="200"/>
    <x v="30"/>
    <n v="4.45"/>
    <n v="74600"/>
    <n v="166000"/>
    <n v="0"/>
    <s v="35 to 44"/>
    <n v="185000"/>
    <n v="145000"/>
    <n v="360"/>
    <x v="5"/>
    <x v="24"/>
    <x v="0"/>
    <x v="0"/>
    <n v="78.378378378378372"/>
    <n v="29"/>
    <n v="360"/>
    <n v="0"/>
    <n v="4.0718029884203197"/>
    <x v="0"/>
  </r>
  <r>
    <n v="201"/>
    <x v="18"/>
    <n v="18.16"/>
    <n v="77800"/>
    <n v="55000"/>
    <n v="0"/>
    <s v="35 to 44"/>
    <n v="615000"/>
    <n v="345000"/>
    <n v="360"/>
    <x v="3"/>
    <x v="167"/>
    <x v="0"/>
    <x v="0"/>
    <n v="56.09756097560976"/>
    <n v="33"/>
    <n v="360"/>
    <n v="0"/>
    <n v="3.9205445674397534"/>
    <x v="0"/>
  </r>
  <r>
    <n v="202"/>
    <x v="8"/>
    <n v="29.58"/>
    <n v="65000"/>
    <n v="75000"/>
    <n v="0"/>
    <s v="35 to 44"/>
    <n v="195000"/>
    <n v="145000"/>
    <n v="360"/>
    <x v="0"/>
    <x v="42"/>
    <x v="0"/>
    <x v="0"/>
    <n v="74.358974358974365"/>
    <n v="14"/>
    <n v="360"/>
    <n v="0"/>
    <n v="5.3734371728187069"/>
    <x v="0"/>
  </r>
  <r>
    <n v="203"/>
    <x v="36"/>
    <n v="11.13"/>
    <n v="86200"/>
    <n v="106000"/>
    <n v="0"/>
    <s v="35 to 44"/>
    <n v="195000"/>
    <n v="145000"/>
    <n v="180"/>
    <x v="3"/>
    <x v="42"/>
    <x v="1"/>
    <x v="0"/>
    <n v="74.358974358974365"/>
    <n v="18"/>
    <n v="180"/>
    <n v="0"/>
    <n v="4.0387159578301572"/>
    <x v="0"/>
  </r>
  <r>
    <n v="204"/>
    <x v="16"/>
    <n v="3.41"/>
    <n v="89000"/>
    <n v="107000"/>
    <n v="0"/>
    <s v="35 to 44"/>
    <n v="455000"/>
    <n v="185000"/>
    <n v="180"/>
    <x v="5"/>
    <x v="8"/>
    <x v="1"/>
    <x v="0"/>
    <n v="40.659340659340657"/>
    <n v="23"/>
    <n v="180"/>
    <n v="0"/>
    <n v="3.3091879056993259"/>
    <x v="0"/>
  </r>
  <r>
    <n v="205"/>
    <x v="5"/>
    <n v="40.79"/>
    <n v="104000"/>
    <n v="41000"/>
    <n v="0"/>
    <s v="35 to 44"/>
    <n v="195000"/>
    <n v="135000"/>
    <n v="240"/>
    <x v="4"/>
    <x v="168"/>
    <x v="0"/>
    <x v="0"/>
    <n v="69.230769230769226"/>
    <n v="27"/>
    <n v="240"/>
    <n v="0"/>
    <n v="3.6693781205525107"/>
    <x v="0"/>
  </r>
  <r>
    <n v="206"/>
    <x v="35"/>
    <n v="4.7300000000000004"/>
    <n v="65300"/>
    <n v="105000"/>
    <n v="0"/>
    <s v="35 to 44"/>
    <n v="145000"/>
    <n v="75000"/>
    <n v="180"/>
    <x v="5"/>
    <x v="128"/>
    <x v="1"/>
    <x v="0"/>
    <n v="51.724137931034484"/>
    <n v="20"/>
    <n v="180"/>
    <n v="0"/>
    <n v="4.2602430415333217"/>
    <x v="0"/>
  </r>
  <r>
    <n v="207"/>
    <x v="26"/>
    <n v="11.84"/>
    <n v="68300"/>
    <n v="152000"/>
    <n v="1"/>
    <s v="35 to 44"/>
    <n v="435000"/>
    <n v="335000"/>
    <n v="360"/>
    <x v="3"/>
    <x v="169"/>
    <x v="0"/>
    <x v="0"/>
    <n v="77.011494252873561"/>
    <n v="33.443836177667201"/>
    <n v="360"/>
    <n v="1"/>
    <n v="4.8010011740779932"/>
    <x v="0"/>
  </r>
  <r>
    <n v="208"/>
    <x v="6"/>
    <n v="13.29"/>
    <n v="100000"/>
    <n v="165000"/>
    <n v="0"/>
    <s v="35 to 44"/>
    <n v="845000"/>
    <n v="365000"/>
    <n v="360"/>
    <x v="3"/>
    <x v="170"/>
    <x v="0"/>
    <x v="0"/>
    <n v="43.19526627218935"/>
    <n v="41"/>
    <n v="360"/>
    <n v="0"/>
    <n v="4.658469288538635"/>
    <x v="0"/>
  </r>
  <r>
    <n v="209"/>
    <x v="8"/>
    <n v="25.3"/>
    <n v="84800"/>
    <n v="122000"/>
    <n v="0"/>
    <s v="35 to 44"/>
    <n v="265000"/>
    <n v="195000"/>
    <n v="360"/>
    <x v="0"/>
    <x v="171"/>
    <x v="0"/>
    <x v="0"/>
    <n v="73.584905660377359"/>
    <n v="9"/>
    <n v="360"/>
    <n v="0"/>
    <n v="4.7910029142966204"/>
    <x v="0"/>
  </r>
  <r>
    <n v="210"/>
    <x v="9"/>
    <n v="11.53"/>
    <n v="114000"/>
    <n v="72000"/>
    <n v="0"/>
    <s v="35 to 44"/>
    <n v="475000"/>
    <n v="315000"/>
    <n v="360"/>
    <x v="3"/>
    <x v="44"/>
    <x v="0"/>
    <x v="0"/>
    <n v="66.315789473684205"/>
    <n v="25"/>
    <n v="360"/>
    <n v="0"/>
    <n v="3.5707379504760057"/>
    <x v="0"/>
  </r>
  <r>
    <n v="211"/>
    <x v="6"/>
    <n v="25.29"/>
    <n v="115100"/>
    <n v="70000"/>
    <n v="0"/>
    <s v="35 to 44"/>
    <n v="375000"/>
    <n v="255000"/>
    <n v="240"/>
    <x v="0"/>
    <x v="172"/>
    <x v="0"/>
    <x v="0"/>
    <n v="68"/>
    <n v="41"/>
    <n v="240"/>
    <n v="0"/>
    <n v="5.6451514357335526"/>
    <x v="0"/>
  </r>
  <r>
    <n v="212"/>
    <x v="40"/>
    <n v="65"/>
    <n v="70800"/>
    <n v="120000"/>
    <n v="1"/>
    <s v="35 to 44"/>
    <n v="505000"/>
    <n v="475000"/>
    <n v="360"/>
    <x v="1"/>
    <x v="173"/>
    <x v="0"/>
    <x v="0"/>
    <n v="94.059405940594047"/>
    <n v="34"/>
    <n v="360"/>
    <n v="1"/>
    <n v="5.4093813662335393"/>
    <x v="1"/>
  </r>
  <r>
    <n v="213"/>
    <x v="8"/>
    <n v="39.86"/>
    <n v="84800"/>
    <n v="241000"/>
    <n v="0"/>
    <s v="35 to 44"/>
    <n v="435000"/>
    <n v="285000"/>
    <n v="360"/>
    <x v="2"/>
    <x v="174"/>
    <x v="0"/>
    <x v="1"/>
    <n v="65.517241379310349"/>
    <n v="33.443836177667201"/>
    <n v="360"/>
    <n v="0"/>
    <n v="4.5263230985458005"/>
    <x v="0"/>
  </r>
  <r>
    <n v="214"/>
    <x v="37"/>
    <n v="18.329999999999998"/>
    <n v="54200"/>
    <n v="69000"/>
    <n v="0"/>
    <s v="35 to 44"/>
    <n v="445000"/>
    <n v="325000"/>
    <n v="360"/>
    <x v="3"/>
    <x v="116"/>
    <x v="0"/>
    <x v="0"/>
    <n v="73.033707865168537"/>
    <n v="33.443836177667201"/>
    <n v="360"/>
    <n v="0"/>
    <n v="5.3366361486839615"/>
    <x v="0"/>
  </r>
  <r>
    <n v="215"/>
    <x v="10"/>
    <n v="4.8600000000000003"/>
    <n v="79700"/>
    <n v="192000"/>
    <n v="0"/>
    <s v="35 to 44"/>
    <n v="505000"/>
    <n v="375000"/>
    <n v="180"/>
    <x v="5"/>
    <x v="90"/>
    <x v="1"/>
    <x v="0"/>
    <n v="74.257425742574256"/>
    <n v="27"/>
    <n v="180"/>
    <n v="0"/>
    <n v="3.5639155199802941"/>
    <x v="0"/>
  </r>
  <r>
    <n v="216"/>
    <x v="8"/>
    <n v="32.5"/>
    <n v="80000"/>
    <n v="187000"/>
    <n v="0"/>
    <s v="35 to 44"/>
    <n v="295000"/>
    <n v="215000"/>
    <n v="180"/>
    <x v="2"/>
    <x v="175"/>
    <x v="1"/>
    <x v="0"/>
    <n v="72.881355932203391"/>
    <n v="15"/>
    <n v="180"/>
    <n v="0"/>
    <n v="3.4831851401583966"/>
    <x v="0"/>
  </r>
  <r>
    <n v="217"/>
    <x v="1"/>
    <n v="76.87"/>
    <n v="127900"/>
    <n v="251000"/>
    <n v="0"/>
    <s v="35 to 44"/>
    <n v="985000"/>
    <n v="625000"/>
    <n v="360"/>
    <x v="1"/>
    <x v="176"/>
    <x v="0"/>
    <x v="1"/>
    <n v="63.451776649746193"/>
    <n v="25"/>
    <n v="360"/>
    <n v="0"/>
    <n v="4.3555357791391511"/>
    <x v="0"/>
  </r>
  <r>
    <n v="218"/>
    <x v="1"/>
    <n v="96.18"/>
    <n v="83300"/>
    <n v="76000"/>
    <n v="0"/>
    <s v="35 to 44"/>
    <n v="555000"/>
    <n v="375000"/>
    <n v="360"/>
    <x v="1"/>
    <x v="177"/>
    <x v="0"/>
    <x v="0"/>
    <n v="67.567567567567565"/>
    <n v="32"/>
    <n v="360"/>
    <n v="0"/>
    <n v="4.2715559035043942"/>
    <x v="0"/>
  </r>
  <r>
    <n v="219"/>
    <x v="5"/>
    <n v="38.840000000000003"/>
    <n v="104000"/>
    <n v="201000"/>
    <n v="0"/>
    <s v="35 to 44"/>
    <n v="635000"/>
    <n v="445000"/>
    <n v="360"/>
    <x v="2"/>
    <x v="178"/>
    <x v="0"/>
    <x v="0"/>
    <n v="70.078740157480311"/>
    <n v="33.443836177667201"/>
    <n v="360"/>
    <n v="0"/>
    <n v="5.3557895480617637"/>
    <x v="0"/>
  </r>
  <r>
    <n v="220"/>
    <x v="35"/>
    <n v="51.94"/>
    <n v="79600"/>
    <n v="231000"/>
    <n v="0"/>
    <s v="35 to 44"/>
    <n v="555000"/>
    <n v="435000"/>
    <n v="360"/>
    <x v="1"/>
    <x v="24"/>
    <x v="0"/>
    <x v="1"/>
    <n v="78.378378378378372"/>
    <n v="35"/>
    <n v="360"/>
    <n v="0"/>
    <n v="4.4445171440540836"/>
    <x v="0"/>
  </r>
  <r>
    <n v="221"/>
    <x v="2"/>
    <n v="54.93"/>
    <n v="108700"/>
    <n v="51000"/>
    <n v="0"/>
    <s v="35 to 44"/>
    <n v="255000"/>
    <n v="205000"/>
    <n v="240"/>
    <x v="1"/>
    <x v="45"/>
    <x v="0"/>
    <x v="0"/>
    <n v="80.392156862745097"/>
    <n v="25"/>
    <n v="240"/>
    <n v="0"/>
    <n v="3.8391761590686446"/>
    <x v="1"/>
  </r>
  <r>
    <n v="222"/>
    <x v="23"/>
    <n v="31.7"/>
    <n v="68900"/>
    <n v="86000"/>
    <n v="0"/>
    <s v="35 to 44"/>
    <n v="235000"/>
    <n v="195000"/>
    <n v="180"/>
    <x v="2"/>
    <x v="179"/>
    <x v="0"/>
    <x v="0"/>
    <n v="82.978723404255319"/>
    <n v="19"/>
    <n v="180"/>
    <n v="0"/>
    <n v="4.1510133028871721"/>
    <x v="1"/>
  </r>
  <r>
    <n v="223"/>
    <x v="20"/>
    <n v="11.88"/>
    <n v="119500"/>
    <n v="138000"/>
    <n v="0"/>
    <s v="35 to 44"/>
    <n v="665000"/>
    <n v="445000"/>
    <n v="360"/>
    <x v="3"/>
    <x v="180"/>
    <x v="0"/>
    <x v="0"/>
    <n v="66.917293233082702"/>
    <n v="33"/>
    <n v="360"/>
    <n v="0"/>
    <n v="4.9711731134212975"/>
    <x v="0"/>
  </r>
  <r>
    <n v="224"/>
    <x v="19"/>
    <n v="7.85"/>
    <n v="65800"/>
    <n v="90000"/>
    <n v="0"/>
    <s v="35 to 44"/>
    <n v="145000"/>
    <n v="115000"/>
    <n v="240"/>
    <x v="5"/>
    <x v="120"/>
    <x v="0"/>
    <x v="0"/>
    <n v="79.310344827586206"/>
    <n v="37"/>
    <n v="240"/>
    <n v="0"/>
    <n v="4.5217436057478384"/>
    <x v="0"/>
  </r>
  <r>
    <n v="225"/>
    <x v="1"/>
    <n v="78.349999999999994"/>
    <n v="86700"/>
    <n v="56000"/>
    <n v="1"/>
    <s v="35 to 44"/>
    <n v="165000"/>
    <n v="165000"/>
    <n v="360"/>
    <x v="1"/>
    <x v="181"/>
    <x v="0"/>
    <x v="0"/>
    <n v="100"/>
    <n v="32"/>
    <n v="360"/>
    <n v="1"/>
    <n v="4.6715323875117711"/>
    <x v="1"/>
  </r>
  <r>
    <n v="226"/>
    <x v="1"/>
    <n v="44.1"/>
    <n v="83300"/>
    <n v="113000"/>
    <n v="0"/>
    <s v="35 to 44"/>
    <n v="755000"/>
    <n v="395000"/>
    <n v="240"/>
    <x v="4"/>
    <x v="182"/>
    <x v="0"/>
    <x v="0"/>
    <n v="52.317880794701985"/>
    <n v="32"/>
    <n v="240"/>
    <n v="0"/>
    <n v="5.3534946357896418"/>
    <x v="0"/>
  </r>
  <r>
    <n v="227"/>
    <x v="7"/>
    <n v="11.04"/>
    <n v="96500"/>
    <n v="278000"/>
    <n v="0"/>
    <s v="35 to 44"/>
    <n v="755000"/>
    <n v="555000"/>
    <n v="360"/>
    <x v="3"/>
    <x v="183"/>
    <x v="0"/>
    <x v="1"/>
    <n v="73.509933774834437"/>
    <n v="37"/>
    <n v="360"/>
    <n v="0"/>
    <n v="5.6520770682510575"/>
    <x v="0"/>
  </r>
  <r>
    <n v="228"/>
    <x v="8"/>
    <n v="13.61"/>
    <n v="84800"/>
    <n v="138000"/>
    <n v="0"/>
    <s v="35 to 44"/>
    <n v="345000"/>
    <n v="325000"/>
    <n v="360"/>
    <x v="3"/>
    <x v="184"/>
    <x v="0"/>
    <x v="0"/>
    <n v="94.20289855072464"/>
    <n v="24"/>
    <n v="360"/>
    <n v="0"/>
    <n v="4.0936354402523509"/>
    <x v="1"/>
  </r>
  <r>
    <n v="229"/>
    <x v="40"/>
    <n v="52.39"/>
    <n v="70800"/>
    <n v="144000"/>
    <n v="0"/>
    <s v="35 to 44"/>
    <n v="725000"/>
    <n v="505000"/>
    <n v="360"/>
    <x v="1"/>
    <x v="185"/>
    <x v="0"/>
    <x v="0"/>
    <n v="69.655172413793096"/>
    <n v="26"/>
    <n v="360"/>
    <n v="0"/>
    <n v="4.2136187673007841"/>
    <x v="0"/>
  </r>
  <r>
    <n v="230"/>
    <x v="1"/>
    <n v="86.84"/>
    <n v="127900"/>
    <n v="92000"/>
    <n v="0"/>
    <s v="35 to 44"/>
    <n v="1005000"/>
    <n v="515000"/>
    <n v="360"/>
    <x v="1"/>
    <x v="186"/>
    <x v="0"/>
    <x v="0"/>
    <n v="51.243781094527364"/>
    <n v="37"/>
    <n v="360"/>
    <n v="0"/>
    <n v="4.5192784608427861"/>
    <x v="0"/>
  </r>
  <r>
    <n v="231"/>
    <x v="2"/>
    <n v="59.46"/>
    <n v="96500"/>
    <n v="306000"/>
    <n v="0"/>
    <s v="35 to 44"/>
    <n v="605000"/>
    <n v="395000"/>
    <n v="180"/>
    <x v="1"/>
    <x v="187"/>
    <x v="1"/>
    <x v="1"/>
    <n v="65.289256198347118"/>
    <n v="27"/>
    <n v="180"/>
    <n v="0"/>
    <n v="4.4541863849822425"/>
    <x v="0"/>
  </r>
  <r>
    <n v="232"/>
    <x v="1"/>
    <n v="32.619999999999997"/>
    <n v="127900"/>
    <n v="328000"/>
    <n v="0"/>
    <s v="35 to 44"/>
    <n v="1915000"/>
    <n v="715000"/>
    <n v="240"/>
    <x v="2"/>
    <x v="188"/>
    <x v="0"/>
    <x v="1"/>
    <n v="37.336814621409921"/>
    <n v="23"/>
    <n v="240"/>
    <n v="0"/>
    <n v="4.6587134466208964"/>
    <x v="0"/>
  </r>
  <r>
    <n v="233"/>
    <x v="32"/>
    <n v="4.1100000000000003"/>
    <n v="104300"/>
    <n v="143000"/>
    <n v="0"/>
    <s v="35 to 44"/>
    <n v="335000"/>
    <n v="195000"/>
    <n v="180"/>
    <x v="5"/>
    <x v="189"/>
    <x v="1"/>
    <x v="0"/>
    <n v="58.208955223880601"/>
    <n v="32"/>
    <n v="180"/>
    <n v="0"/>
    <n v="4.2024014166183736"/>
    <x v="0"/>
  </r>
  <r>
    <n v="234"/>
    <x v="22"/>
    <n v="3.52"/>
    <n v="76700"/>
    <n v="94000"/>
    <n v="0"/>
    <s v="35 to 44"/>
    <n v="345000"/>
    <n v="215000"/>
    <n v="180"/>
    <x v="5"/>
    <x v="190"/>
    <x v="1"/>
    <x v="0"/>
    <n v="62.318840579710141"/>
    <n v="26"/>
    <n v="180"/>
    <n v="0"/>
    <n v="4.2613454833174211"/>
    <x v="0"/>
  </r>
  <r>
    <n v="235"/>
    <x v="8"/>
    <n v="33.74"/>
    <n v="97600"/>
    <n v="86000"/>
    <n v="0"/>
    <s v="35 to 44"/>
    <n v="535000"/>
    <n v="275000"/>
    <n v="180"/>
    <x v="2"/>
    <x v="191"/>
    <x v="1"/>
    <x v="0"/>
    <n v="51.401869158878498"/>
    <n v="28"/>
    <n v="180"/>
    <n v="0"/>
    <n v="4.9852449119664737"/>
    <x v="0"/>
  </r>
  <r>
    <n v="236"/>
    <x v="23"/>
    <n v="7.21"/>
    <n v="80700"/>
    <n v="251000"/>
    <n v="0"/>
    <s v="35 to 44"/>
    <n v="1425000"/>
    <n v="405000"/>
    <n v="180"/>
    <x v="5"/>
    <x v="192"/>
    <x v="1"/>
    <x v="1"/>
    <n v="28.421052631578945"/>
    <n v="26"/>
    <n v="180"/>
    <n v="0"/>
    <n v="4.9123037032240378"/>
    <x v="0"/>
  </r>
  <r>
    <n v="237"/>
    <x v="4"/>
    <n v="2.97"/>
    <n v="65500"/>
    <n v="156000"/>
    <n v="0"/>
    <s v="45 to 54"/>
    <n v="455000"/>
    <n v="315000"/>
    <n v="360"/>
    <x v="5"/>
    <x v="168"/>
    <x v="0"/>
    <x v="0"/>
    <n v="69.230769230769226"/>
    <n v="27"/>
    <n v="360"/>
    <n v="0"/>
    <n v="4.8639383313455209"/>
    <x v="0"/>
  </r>
  <r>
    <n v="238"/>
    <x v="1"/>
    <n v="66.11"/>
    <n v="92700"/>
    <n v="170000"/>
    <n v="0"/>
    <s v="45 to 54"/>
    <n v="805000"/>
    <n v="315000"/>
    <n v="360"/>
    <x v="1"/>
    <x v="193"/>
    <x v="0"/>
    <x v="0"/>
    <n v="39.130434782608695"/>
    <n v="38"/>
    <n v="360"/>
    <n v="0"/>
    <n v="5.3666218404496657"/>
    <x v="0"/>
  </r>
  <r>
    <n v="239"/>
    <x v="1"/>
    <n v="68.739999999999995"/>
    <n v="83300"/>
    <n v="111000"/>
    <n v="0"/>
    <s v="45 to 54"/>
    <n v="655000"/>
    <n v="595000"/>
    <n v="360"/>
    <x v="1"/>
    <x v="194"/>
    <x v="0"/>
    <x v="0"/>
    <n v="90.839694656488547"/>
    <n v="33"/>
    <n v="360"/>
    <n v="0"/>
    <n v="5.2909895144421855"/>
    <x v="1"/>
  </r>
  <r>
    <n v="240"/>
    <x v="34"/>
    <n v="7.74"/>
    <n v="76900"/>
    <n v="298000"/>
    <n v="0"/>
    <s v="45 to 54"/>
    <n v="585000"/>
    <n v="495000"/>
    <n v="360"/>
    <x v="5"/>
    <x v="195"/>
    <x v="0"/>
    <x v="0"/>
    <n v="84.615384615384613"/>
    <n v="28"/>
    <n v="360"/>
    <n v="0"/>
    <n v="5.0298631572716221"/>
    <x v="1"/>
  </r>
  <r>
    <n v="241"/>
    <x v="26"/>
    <n v="21.96"/>
    <n v="69200"/>
    <n v="55000"/>
    <n v="1"/>
    <s v="45 to 54"/>
    <n v="205000"/>
    <n v="195000"/>
    <n v="360"/>
    <x v="0"/>
    <x v="196"/>
    <x v="0"/>
    <x v="0"/>
    <n v="95.121951219512198"/>
    <n v="28"/>
    <n v="360"/>
    <n v="1"/>
    <n v="4.4005168215959989"/>
    <x v="1"/>
  </r>
  <r>
    <n v="242"/>
    <x v="41"/>
    <n v="18.02"/>
    <n v="78400"/>
    <n v="157000"/>
    <n v="0"/>
    <s v="45 to 54"/>
    <n v="625000"/>
    <n v="525000"/>
    <n v="360"/>
    <x v="3"/>
    <x v="197"/>
    <x v="0"/>
    <x v="0"/>
    <n v="84"/>
    <n v="26"/>
    <n v="360"/>
    <n v="0"/>
    <n v="5.0232856732412561"/>
    <x v="1"/>
  </r>
  <r>
    <n v="243"/>
    <x v="2"/>
    <n v="16.77"/>
    <n v="96500"/>
    <n v="278000"/>
    <n v="0"/>
    <s v="45 to 54"/>
    <n v="885000"/>
    <n v="605000"/>
    <n v="360"/>
    <x v="3"/>
    <x v="198"/>
    <x v="0"/>
    <x v="1"/>
    <n v="68.361581920903959"/>
    <n v="28"/>
    <n v="360"/>
    <n v="0"/>
    <n v="5.5335916749309355"/>
    <x v="0"/>
  </r>
  <r>
    <n v="244"/>
    <x v="35"/>
    <n v="6.18"/>
    <n v="71800"/>
    <n v="60000"/>
    <n v="0"/>
    <s v="45 to 54"/>
    <n v="305000"/>
    <n v="215000"/>
    <n v="360"/>
    <x v="5"/>
    <x v="28"/>
    <x v="0"/>
    <x v="0"/>
    <n v="70.491803278688522"/>
    <n v="27"/>
    <n v="360"/>
    <n v="0"/>
    <n v="5.1949497836792986"/>
    <x v="0"/>
  </r>
  <r>
    <n v="245"/>
    <x v="13"/>
    <n v="6.42"/>
    <n v="102800"/>
    <n v="69000"/>
    <n v="0"/>
    <s v="45 to 54"/>
    <n v="335000"/>
    <n v="245000"/>
    <n v="360"/>
    <x v="5"/>
    <x v="58"/>
    <x v="0"/>
    <x v="0"/>
    <n v="73.134328358208961"/>
    <n v="33"/>
    <n v="360"/>
    <n v="0"/>
    <n v="3.8564061515345323"/>
    <x v="0"/>
  </r>
  <r>
    <n v="246"/>
    <x v="1"/>
    <n v="59.82"/>
    <n v="86700"/>
    <n v="85000"/>
    <n v="0"/>
    <s v="45 to 54"/>
    <n v="445000"/>
    <n v="385000"/>
    <n v="360"/>
    <x v="1"/>
    <x v="199"/>
    <x v="0"/>
    <x v="0"/>
    <n v="86.516853932584269"/>
    <n v="20"/>
    <n v="360"/>
    <n v="0"/>
    <n v="3.8705814325126591"/>
    <x v="1"/>
  </r>
  <r>
    <n v="247"/>
    <x v="4"/>
    <n v="7.84"/>
    <n v="84600"/>
    <n v="75000"/>
    <n v="0"/>
    <s v="45 to 54"/>
    <n v="265000"/>
    <n v="175000"/>
    <n v="360"/>
    <x v="5"/>
    <x v="200"/>
    <x v="0"/>
    <x v="0"/>
    <n v="66.037735849056602"/>
    <n v="26"/>
    <n v="360"/>
    <n v="0"/>
    <n v="4.4380690895776276"/>
    <x v="0"/>
  </r>
  <r>
    <n v="248"/>
    <x v="9"/>
    <n v="18.61"/>
    <n v="114000"/>
    <n v="190000"/>
    <n v="0"/>
    <s v="45 to 54"/>
    <n v="435000"/>
    <n v="345000"/>
    <n v="180"/>
    <x v="3"/>
    <x v="120"/>
    <x v="1"/>
    <x v="0"/>
    <n v="79.310344827586206"/>
    <n v="33"/>
    <n v="180"/>
    <n v="0"/>
    <n v="3.9091816936524895"/>
    <x v="0"/>
  </r>
  <r>
    <n v="249"/>
    <x v="3"/>
    <n v="39.590000000000003"/>
    <n v="124900"/>
    <n v="76000"/>
    <n v="0"/>
    <s v="45 to 54"/>
    <n v="265000"/>
    <n v="245000"/>
    <n v="360"/>
    <x v="2"/>
    <x v="201"/>
    <x v="0"/>
    <x v="0"/>
    <n v="92.452830188679243"/>
    <n v="12"/>
    <n v="360"/>
    <n v="0"/>
    <n v="4.77367384310101"/>
    <x v="1"/>
  </r>
  <r>
    <n v="250"/>
    <x v="26"/>
    <n v="25.71"/>
    <n v="68300"/>
    <n v="256000"/>
    <n v="0"/>
    <s v="45 to 54"/>
    <n v="785000"/>
    <n v="195000"/>
    <n v="120"/>
    <x v="0"/>
    <x v="202"/>
    <x v="1"/>
    <x v="1"/>
    <n v="24.840764331210192"/>
    <n v="26"/>
    <n v="120"/>
    <n v="0"/>
    <n v="3.4852621070030878"/>
    <x v="0"/>
  </r>
  <r>
    <n v="251"/>
    <x v="11"/>
    <n v="40.43"/>
    <n v="82200"/>
    <n v="115000"/>
    <n v="0"/>
    <s v="45 to 54"/>
    <n v="305000"/>
    <n v="165000"/>
    <n v="180"/>
    <x v="4"/>
    <x v="203"/>
    <x v="1"/>
    <x v="0"/>
    <n v="54.098360655737707"/>
    <n v="28"/>
    <n v="180"/>
    <n v="0"/>
    <n v="4.4274943582149948"/>
    <x v="0"/>
  </r>
  <r>
    <n v="252"/>
    <x v="27"/>
    <n v="1.49"/>
    <n v="69800"/>
    <n v="68000"/>
    <n v="0"/>
    <s v="45 to 54"/>
    <n v="365000"/>
    <n v="255000"/>
    <n v="360"/>
    <x v="5"/>
    <x v="204"/>
    <x v="0"/>
    <x v="0"/>
    <n v="69.863013698630141"/>
    <n v="30"/>
    <n v="360"/>
    <n v="0"/>
    <n v="3.8846614055761819"/>
    <x v="0"/>
  </r>
  <r>
    <n v="253"/>
    <x v="17"/>
    <n v="19.68"/>
    <n v="82600"/>
    <n v="201000"/>
    <n v="0"/>
    <s v="45 to 54"/>
    <n v="535000"/>
    <n v="425000"/>
    <n v="360"/>
    <x v="3"/>
    <x v="205"/>
    <x v="0"/>
    <x v="0"/>
    <n v="79.43925233644859"/>
    <n v="38"/>
    <n v="360"/>
    <n v="0"/>
    <n v="4.354516566636379"/>
    <x v="0"/>
  </r>
  <r>
    <n v="254"/>
    <x v="15"/>
    <n v="34.26"/>
    <n v="92100"/>
    <n v="88000"/>
    <n v="0"/>
    <s v="45 to 54"/>
    <n v="435000"/>
    <n v="395000"/>
    <n v="360"/>
    <x v="2"/>
    <x v="206"/>
    <x v="0"/>
    <x v="0"/>
    <n v="90.804597701149419"/>
    <n v="35"/>
    <n v="360"/>
    <n v="0"/>
    <n v="4.1472293964322358"/>
    <x v="1"/>
  </r>
  <r>
    <n v="255"/>
    <x v="19"/>
    <n v="9.76"/>
    <n v="75400"/>
    <n v="110000"/>
    <n v="0"/>
    <s v="45 to 54"/>
    <n v="405000"/>
    <n v="325000"/>
    <n v="360"/>
    <x v="5"/>
    <x v="4"/>
    <x v="0"/>
    <x v="0"/>
    <n v="80.246913580246911"/>
    <n v="38"/>
    <n v="360"/>
    <n v="0"/>
    <n v="4.4014148230433952"/>
    <x v="1"/>
  </r>
  <r>
    <n v="256"/>
    <x v="11"/>
    <n v="59.83"/>
    <n v="82200"/>
    <n v="87000"/>
    <n v="0"/>
    <s v="45 to 54"/>
    <n v="355000"/>
    <n v="225000"/>
    <n v="180"/>
    <x v="1"/>
    <x v="207"/>
    <x v="1"/>
    <x v="0"/>
    <n v="63.380281690140848"/>
    <n v="29"/>
    <n v="180"/>
    <n v="0"/>
    <n v="5.1428229802768826"/>
    <x v="0"/>
  </r>
  <r>
    <n v="257"/>
    <x v="31"/>
    <n v="10.39"/>
    <n v="81000"/>
    <n v="88000"/>
    <n v="0"/>
    <s v="45 to 54"/>
    <n v="675000"/>
    <n v="485000"/>
    <n v="360"/>
    <x v="3"/>
    <x v="208"/>
    <x v="0"/>
    <x v="0"/>
    <n v="71.851851851851862"/>
    <n v="31"/>
    <n v="360"/>
    <n v="0"/>
    <n v="4.2538900559852362"/>
    <x v="0"/>
  </r>
  <r>
    <n v="258"/>
    <x v="17"/>
    <n v="10.54"/>
    <n v="63300"/>
    <n v="52000"/>
    <n v="0"/>
    <s v="45 to 54"/>
    <n v="155000"/>
    <n v="135000"/>
    <n v="360"/>
    <x v="3"/>
    <x v="209"/>
    <x v="0"/>
    <x v="0"/>
    <n v="87.096774193548384"/>
    <n v="40"/>
    <n v="360"/>
    <n v="0"/>
    <n v="5.8850379283652483"/>
    <x v="1"/>
  </r>
  <r>
    <n v="259"/>
    <x v="4"/>
    <n v="2.5499999999999998"/>
    <n v="85200"/>
    <n v="18000"/>
    <n v="0"/>
    <s v="45 to 54"/>
    <n v="405000"/>
    <n v="45000"/>
    <n v="240"/>
    <x v="5"/>
    <x v="210"/>
    <x v="0"/>
    <x v="0"/>
    <n v="11.111111111111111"/>
    <n v="40"/>
    <n v="240"/>
    <n v="0"/>
    <n v="3.344612209106014"/>
    <x v="0"/>
  </r>
  <r>
    <n v="260"/>
    <x v="11"/>
    <n v="18.63"/>
    <n v="82200"/>
    <n v="82000"/>
    <n v="0"/>
    <s v="45 to 54"/>
    <n v="255000"/>
    <n v="205000"/>
    <n v="360"/>
    <x v="3"/>
    <x v="45"/>
    <x v="0"/>
    <x v="0"/>
    <n v="80.392156862745097"/>
    <n v="31"/>
    <n v="360"/>
    <n v="0"/>
    <n v="4.5991750464084991"/>
    <x v="1"/>
  </r>
  <r>
    <n v="261"/>
    <x v="22"/>
    <n v="5.65"/>
    <n v="102800"/>
    <n v="100000"/>
    <n v="0"/>
    <s v="45 to 54"/>
    <n v="285000"/>
    <n v="225000"/>
    <n v="360"/>
    <x v="5"/>
    <x v="96"/>
    <x v="0"/>
    <x v="0"/>
    <n v="78.94736842105263"/>
    <n v="30"/>
    <n v="360"/>
    <n v="0"/>
    <n v="5.483342922407763"/>
    <x v="0"/>
  </r>
  <r>
    <n v="262"/>
    <x v="4"/>
    <n v="17.14"/>
    <n v="84600"/>
    <n v="375000"/>
    <n v="0"/>
    <s v="45 to 54"/>
    <n v="1505000"/>
    <n v="515000"/>
    <n v="360"/>
    <x v="3"/>
    <x v="211"/>
    <x v="0"/>
    <x v="1"/>
    <n v="34.219269102990033"/>
    <n v="42"/>
    <n v="360"/>
    <n v="0"/>
    <n v="5.426355318131403"/>
    <x v="0"/>
  </r>
  <r>
    <n v="263"/>
    <x v="31"/>
    <n v="20.78"/>
    <n v="71700"/>
    <n v="62000"/>
    <n v="0"/>
    <s v="45 to 54"/>
    <n v="275000"/>
    <n v="205000"/>
    <n v="360"/>
    <x v="0"/>
    <x v="212"/>
    <x v="0"/>
    <x v="0"/>
    <n v="74.545454545454547"/>
    <n v="48"/>
    <n v="360"/>
    <n v="0"/>
    <n v="4.6736319978142422"/>
    <x v="0"/>
  </r>
  <r>
    <n v="264"/>
    <x v="35"/>
    <n v="18.93"/>
    <n v="70000"/>
    <n v="72000"/>
    <n v="0"/>
    <s v="45 to 54"/>
    <n v="295000"/>
    <n v="265000"/>
    <n v="360"/>
    <x v="3"/>
    <x v="213"/>
    <x v="0"/>
    <x v="0"/>
    <n v="89.830508474576277"/>
    <n v="21"/>
    <n v="360"/>
    <n v="0"/>
    <n v="5.5090852347964967"/>
    <x v="1"/>
  </r>
  <r>
    <n v="265"/>
    <x v="9"/>
    <n v="3.67"/>
    <n v="114000"/>
    <n v="83000"/>
    <n v="0"/>
    <s v="45 to 54"/>
    <n v="725000"/>
    <n v="335000"/>
    <n v="360"/>
    <x v="5"/>
    <x v="214"/>
    <x v="0"/>
    <x v="0"/>
    <n v="46.206896551724135"/>
    <n v="51"/>
    <n v="360"/>
    <n v="0"/>
    <n v="5.5378470820095504"/>
    <x v="0"/>
  </r>
  <r>
    <n v="266"/>
    <x v="1"/>
    <n v="58.35"/>
    <n v="81600"/>
    <n v="147000"/>
    <n v="0"/>
    <s v="45 to 54"/>
    <n v="755000"/>
    <n v="605000"/>
    <n v="360"/>
    <x v="1"/>
    <x v="215"/>
    <x v="0"/>
    <x v="0"/>
    <n v="80.132450331125824"/>
    <n v="27"/>
    <n v="360"/>
    <n v="0"/>
    <n v="4.900763782911028"/>
    <x v="1"/>
  </r>
  <r>
    <n v="267"/>
    <x v="8"/>
    <n v="42.96"/>
    <n v="72200"/>
    <n v="88000"/>
    <n v="0"/>
    <s v="45 to 54"/>
    <n v="205000"/>
    <n v="75000"/>
    <n v="360"/>
    <x v="4"/>
    <x v="216"/>
    <x v="0"/>
    <x v="0"/>
    <n v="36.585365853658537"/>
    <n v="35"/>
    <n v="360"/>
    <n v="0"/>
    <n v="3.4519917392052779"/>
    <x v="0"/>
  </r>
  <r>
    <n v="268"/>
    <x v="19"/>
    <n v="33.090000000000003"/>
    <n v="89100"/>
    <n v="123000"/>
    <n v="0"/>
    <s v="45 to 54"/>
    <n v="365000"/>
    <n v="255000"/>
    <n v="240"/>
    <x v="2"/>
    <x v="204"/>
    <x v="0"/>
    <x v="0"/>
    <n v="69.863013698630141"/>
    <n v="26"/>
    <n v="240"/>
    <n v="0"/>
    <n v="5.1421496029858247"/>
    <x v="0"/>
  </r>
  <r>
    <n v="269"/>
    <x v="5"/>
    <n v="93.79"/>
    <n v="124900"/>
    <n v="39000"/>
    <n v="0"/>
    <s v="45 to 54"/>
    <n v="315000"/>
    <n v="245000"/>
    <n v="360"/>
    <x v="1"/>
    <x v="80"/>
    <x v="0"/>
    <x v="0"/>
    <n v="77.777777777777786"/>
    <n v="21"/>
    <n v="360"/>
    <n v="0"/>
    <n v="4.6177157304658039"/>
    <x v="0"/>
  </r>
  <r>
    <n v="270"/>
    <x v="42"/>
    <n v="35.76"/>
    <n v="96600"/>
    <n v="148000"/>
    <n v="0"/>
    <s v="45 to 54"/>
    <n v="345000"/>
    <n v="245000"/>
    <n v="360"/>
    <x v="2"/>
    <x v="63"/>
    <x v="0"/>
    <x v="0"/>
    <n v="71.014492753623188"/>
    <n v="31"/>
    <n v="360"/>
    <n v="0"/>
    <n v="3.9033133318967015"/>
    <x v="0"/>
  </r>
  <r>
    <n v="271"/>
    <x v="15"/>
    <n v="19.440000000000001"/>
    <n v="92100"/>
    <n v="120000"/>
    <n v="0"/>
    <s v="45 to 54"/>
    <n v="475000"/>
    <n v="375000"/>
    <n v="180"/>
    <x v="3"/>
    <x v="96"/>
    <x v="1"/>
    <x v="0"/>
    <n v="78.94736842105263"/>
    <n v="10"/>
    <n v="180"/>
    <n v="0"/>
    <n v="3.3252747405714045"/>
    <x v="0"/>
  </r>
  <r>
    <n v="272"/>
    <x v="6"/>
    <n v="38.78"/>
    <n v="84500"/>
    <n v="61000"/>
    <n v="0"/>
    <s v="45 to 54"/>
    <n v="555000"/>
    <n v="415000"/>
    <n v="360"/>
    <x v="2"/>
    <x v="217"/>
    <x v="0"/>
    <x v="0"/>
    <n v="74.774774774774784"/>
    <n v="33"/>
    <n v="360"/>
    <n v="0"/>
    <n v="4.7424451346467"/>
    <x v="0"/>
  </r>
  <r>
    <n v="273"/>
    <x v="20"/>
    <n v="6.54"/>
    <n v="91800"/>
    <n v="58000"/>
    <n v="0"/>
    <s v="45 to 54"/>
    <n v="265000"/>
    <n v="245000"/>
    <n v="360"/>
    <x v="5"/>
    <x v="201"/>
    <x v="0"/>
    <x v="0"/>
    <n v="92.452830188679243"/>
    <n v="8"/>
    <n v="360"/>
    <n v="0"/>
    <n v="5.1171041566546398"/>
    <x v="1"/>
  </r>
  <r>
    <n v="274"/>
    <x v="2"/>
    <n v="34.840000000000003"/>
    <n v="96600"/>
    <n v="56000"/>
    <n v="0"/>
    <s v="45 to 54"/>
    <n v="175000"/>
    <n v="165000"/>
    <n v="360"/>
    <x v="2"/>
    <x v="218"/>
    <x v="0"/>
    <x v="0"/>
    <n v="94.285714285714278"/>
    <n v="26"/>
    <n v="360"/>
    <n v="0"/>
    <n v="5.753361214559721"/>
    <x v="1"/>
  </r>
  <r>
    <n v="275"/>
    <x v="1"/>
    <n v="48.59"/>
    <n v="95400"/>
    <n v="133000"/>
    <n v="0"/>
    <s v="45 to 54"/>
    <n v="625000"/>
    <n v="425000"/>
    <n v="240"/>
    <x v="4"/>
    <x v="172"/>
    <x v="0"/>
    <x v="0"/>
    <n v="68"/>
    <n v="11"/>
    <n v="240"/>
    <n v="0"/>
    <n v="4.7122527869128508"/>
    <x v="0"/>
  </r>
  <r>
    <n v="276"/>
    <x v="19"/>
    <n v="21.32"/>
    <n v="89100"/>
    <n v="58000"/>
    <n v="1"/>
    <s v="45 to 54"/>
    <n v="265000"/>
    <n v="225000"/>
    <n v="360"/>
    <x v="0"/>
    <x v="219"/>
    <x v="0"/>
    <x v="0"/>
    <n v="84.905660377358487"/>
    <n v="23"/>
    <n v="360"/>
    <n v="1"/>
    <n v="5.6667355089925833"/>
    <x v="1"/>
  </r>
  <r>
    <n v="277"/>
    <x v="13"/>
    <n v="10.3"/>
    <n v="102800"/>
    <n v="213000"/>
    <n v="0"/>
    <s v="45 to 54"/>
    <n v="665000"/>
    <n v="495000"/>
    <n v="360"/>
    <x v="3"/>
    <x v="23"/>
    <x v="0"/>
    <x v="0"/>
    <n v="74.436090225563916"/>
    <n v="42"/>
    <n v="360"/>
    <n v="0"/>
    <n v="5.2782750345306955"/>
    <x v="0"/>
  </r>
  <r>
    <n v="278"/>
    <x v="0"/>
    <n v="27.73"/>
    <n v="106900"/>
    <n v="110000"/>
    <n v="0"/>
    <s v="45 to 54"/>
    <n v="455000"/>
    <n v="235000"/>
    <n v="180"/>
    <x v="0"/>
    <x v="220"/>
    <x v="1"/>
    <x v="0"/>
    <n v="51.648351648351657"/>
    <n v="28"/>
    <n v="180"/>
    <n v="0"/>
    <n v="4.9352183772446692"/>
    <x v="0"/>
  </r>
  <r>
    <n v="279"/>
    <x v="0"/>
    <n v="49.27"/>
    <n v="106900"/>
    <n v="358000"/>
    <n v="0"/>
    <s v="45 to 54"/>
    <n v="315000"/>
    <n v="235000"/>
    <n v="360"/>
    <x v="4"/>
    <x v="151"/>
    <x v="0"/>
    <x v="1"/>
    <n v="74.603174603174608"/>
    <n v="34"/>
    <n v="360"/>
    <n v="0"/>
    <n v="3.8086617171626349"/>
    <x v="0"/>
  </r>
  <r>
    <n v="280"/>
    <x v="8"/>
    <n v="13.42"/>
    <n v="80000"/>
    <n v="127000"/>
    <n v="1"/>
    <s v="45 to 54"/>
    <n v="235000"/>
    <n v="205000"/>
    <n v="360"/>
    <x v="3"/>
    <x v="221"/>
    <x v="0"/>
    <x v="0"/>
    <n v="87.2340425531915"/>
    <n v="33"/>
    <n v="360"/>
    <n v="1"/>
    <n v="5.7831193584818514"/>
    <x v="1"/>
  </r>
  <r>
    <n v="281"/>
    <x v="23"/>
    <n v="4.74"/>
    <n v="59100"/>
    <n v="26000"/>
    <n v="0"/>
    <s v="45 to 54"/>
    <n v="125000"/>
    <n v="105000"/>
    <n v="360"/>
    <x v="5"/>
    <x v="197"/>
    <x v="0"/>
    <x v="0"/>
    <n v="84"/>
    <n v="20"/>
    <n v="360"/>
    <n v="0"/>
    <n v="5.1622514336490806"/>
    <x v="1"/>
  </r>
  <r>
    <n v="282"/>
    <x v="5"/>
    <n v="17.37"/>
    <n v="104000"/>
    <n v="117000"/>
    <n v="0"/>
    <s v="45 to 54"/>
    <n v="235000"/>
    <n v="155000"/>
    <n v="360"/>
    <x v="3"/>
    <x v="222"/>
    <x v="0"/>
    <x v="0"/>
    <n v="65.957446808510639"/>
    <n v="21"/>
    <n v="360"/>
    <n v="0"/>
    <n v="4.0981129823062838"/>
    <x v="0"/>
  </r>
  <r>
    <n v="283"/>
    <x v="34"/>
    <n v="13.98"/>
    <n v="85200"/>
    <n v="96000"/>
    <n v="0"/>
    <s v="45 to 54"/>
    <n v="305000"/>
    <n v="185000"/>
    <n v="180"/>
    <x v="3"/>
    <x v="223"/>
    <x v="1"/>
    <x v="0"/>
    <n v="60.655737704918032"/>
    <n v="22"/>
    <n v="180"/>
    <n v="0"/>
    <n v="3.6670356689005588"/>
    <x v="0"/>
  </r>
  <r>
    <n v="284"/>
    <x v="19"/>
    <n v="30.82"/>
    <n v="89100"/>
    <n v="104000"/>
    <n v="0"/>
    <s v="45 to 54"/>
    <n v="255000"/>
    <n v="225000"/>
    <n v="360"/>
    <x v="2"/>
    <x v="224"/>
    <x v="0"/>
    <x v="0"/>
    <n v="88.235294117647058"/>
    <n v="22"/>
    <n v="360"/>
    <n v="0"/>
    <n v="4.3262067727092237"/>
    <x v="1"/>
  </r>
  <r>
    <n v="285"/>
    <x v="37"/>
    <n v="74.400000000000006"/>
    <n v="62800"/>
    <n v="40000"/>
    <n v="1"/>
    <s v="45 to 54"/>
    <n v="155000"/>
    <n v="145000"/>
    <n v="360"/>
    <x v="1"/>
    <x v="225"/>
    <x v="0"/>
    <x v="0"/>
    <n v="93.548387096774192"/>
    <n v="23"/>
    <n v="360"/>
    <n v="1"/>
    <n v="4.3350421225496589"/>
    <x v="1"/>
  </r>
  <r>
    <n v="286"/>
    <x v="38"/>
    <n v="81.03"/>
    <n v="69100"/>
    <n v="43000"/>
    <n v="0"/>
    <s v="45 to 54"/>
    <n v="275000"/>
    <n v="205000"/>
    <n v="360"/>
    <x v="1"/>
    <x v="212"/>
    <x v="0"/>
    <x v="0"/>
    <n v="74.545454545454547"/>
    <n v="38"/>
    <n v="360"/>
    <n v="0"/>
    <n v="5.0450890899877097"/>
    <x v="0"/>
  </r>
  <r>
    <n v="287"/>
    <x v="35"/>
    <n v="7.34"/>
    <n v="89100"/>
    <n v="95000"/>
    <n v="0"/>
    <s v="45 to 54"/>
    <n v="455000"/>
    <n v="395000"/>
    <n v="360"/>
    <x v="5"/>
    <x v="226"/>
    <x v="0"/>
    <x v="0"/>
    <n v="86.813186813186817"/>
    <n v="23"/>
    <n v="360"/>
    <n v="0"/>
    <n v="3.7255849342525695"/>
    <x v="1"/>
  </r>
  <r>
    <n v="288"/>
    <x v="12"/>
    <n v="12.72"/>
    <n v="87500"/>
    <n v="76000"/>
    <n v="0"/>
    <s v="45 to 54"/>
    <n v="245000"/>
    <n v="145000"/>
    <n v="360"/>
    <x v="3"/>
    <x v="227"/>
    <x v="0"/>
    <x v="0"/>
    <n v="59.183673469387756"/>
    <n v="22"/>
    <n v="360"/>
    <n v="0"/>
    <n v="5.2748224987812415"/>
    <x v="0"/>
  </r>
  <r>
    <n v="289"/>
    <x v="26"/>
    <n v="32.46"/>
    <n v="68100"/>
    <n v="266000"/>
    <n v="0"/>
    <s v="45 to 54"/>
    <n v="285000"/>
    <n v="225000"/>
    <n v="360"/>
    <x v="2"/>
    <x v="96"/>
    <x v="0"/>
    <x v="1"/>
    <n v="78.94736842105263"/>
    <n v="23"/>
    <n v="360"/>
    <n v="0"/>
    <n v="5.1309500816153584"/>
    <x v="0"/>
  </r>
  <r>
    <n v="290"/>
    <x v="0"/>
    <n v="18.829999999999998"/>
    <n v="92100"/>
    <n v="78000"/>
    <n v="0"/>
    <s v="45 to 54"/>
    <n v="415000"/>
    <n v="295000"/>
    <n v="360"/>
    <x v="3"/>
    <x v="98"/>
    <x v="0"/>
    <x v="0"/>
    <n v="71.084337349397586"/>
    <n v="19"/>
    <n v="360"/>
    <n v="0"/>
    <n v="5.289213826512464"/>
    <x v="0"/>
  </r>
  <r>
    <n v="291"/>
    <x v="1"/>
    <n v="75.34"/>
    <n v="75300"/>
    <n v="120000"/>
    <n v="0"/>
    <s v="45 to 54"/>
    <n v="805000"/>
    <n v="385000"/>
    <n v="360"/>
    <x v="1"/>
    <x v="228"/>
    <x v="0"/>
    <x v="0"/>
    <n v="47.826086956521742"/>
    <n v="7"/>
    <n v="360"/>
    <n v="0"/>
    <n v="4.5815316404343029"/>
    <x v="0"/>
  </r>
  <r>
    <n v="292"/>
    <x v="35"/>
    <n v="16.54"/>
    <n v="71100"/>
    <n v="41000"/>
    <n v="1"/>
    <s v="45 to 54"/>
    <n v="145000"/>
    <n v="135000"/>
    <n v="360"/>
    <x v="3"/>
    <x v="229"/>
    <x v="0"/>
    <x v="0"/>
    <n v="93.103448275862064"/>
    <n v="22"/>
    <n v="360"/>
    <n v="1"/>
    <n v="5.5134556427194052"/>
    <x v="1"/>
  </r>
  <r>
    <n v="293"/>
    <x v="18"/>
    <n v="31.07"/>
    <n v="68400"/>
    <n v="155000"/>
    <n v="0"/>
    <s v="45 to 54"/>
    <n v="355000"/>
    <n v="245000"/>
    <n v="360"/>
    <x v="2"/>
    <x v="230"/>
    <x v="0"/>
    <x v="0"/>
    <n v="69.014084507042256"/>
    <n v="38"/>
    <n v="360"/>
    <n v="0"/>
    <n v="4.9752812075620554"/>
    <x v="0"/>
  </r>
  <r>
    <n v="294"/>
    <x v="3"/>
    <n v="73.400000000000006"/>
    <n v="89400"/>
    <n v="52000"/>
    <n v="0"/>
    <s v="45 to 54"/>
    <n v="175000"/>
    <n v="135000"/>
    <n v="360"/>
    <x v="1"/>
    <x v="231"/>
    <x v="0"/>
    <x v="0"/>
    <n v="77.142857142857153"/>
    <n v="34"/>
    <n v="360"/>
    <n v="0"/>
    <n v="4.2662992679005249"/>
    <x v="0"/>
  </r>
  <r>
    <n v="295"/>
    <x v="7"/>
    <n v="41.07"/>
    <n v="96500"/>
    <n v="72000"/>
    <n v="0"/>
    <s v="45 to 54"/>
    <n v="645000"/>
    <n v="475000"/>
    <n v="360"/>
    <x v="4"/>
    <x v="232"/>
    <x v="0"/>
    <x v="0"/>
    <n v="73.643410852713174"/>
    <n v="28"/>
    <n v="360"/>
    <n v="0"/>
    <n v="4.4994864210816239"/>
    <x v="0"/>
  </r>
  <r>
    <n v="296"/>
    <x v="43"/>
    <n v="7.37"/>
    <n v="52700"/>
    <n v="134000"/>
    <n v="0"/>
    <s v="45 to 54"/>
    <n v="295000"/>
    <n v="245000"/>
    <n v="360"/>
    <x v="5"/>
    <x v="233"/>
    <x v="0"/>
    <x v="0"/>
    <n v="83.050847457627114"/>
    <n v="29"/>
    <n v="360"/>
    <n v="0"/>
    <n v="4.2072525178506694"/>
    <x v="1"/>
  </r>
  <r>
    <n v="297"/>
    <x v="42"/>
    <n v="35.01"/>
    <n v="96600"/>
    <n v="80000"/>
    <n v="1"/>
    <s v="45 to 54"/>
    <n v="555000"/>
    <n v="435000"/>
    <n v="360"/>
    <x v="2"/>
    <x v="24"/>
    <x v="0"/>
    <x v="0"/>
    <n v="78.378378378378372"/>
    <n v="16"/>
    <n v="360"/>
    <n v="1"/>
    <n v="5.5882075518717969"/>
    <x v="0"/>
  </r>
  <r>
    <n v="298"/>
    <x v="43"/>
    <n v="25.68"/>
    <n v="52700"/>
    <n v="132000"/>
    <n v="0"/>
    <s v="45 to 54"/>
    <n v="185000"/>
    <n v="165000"/>
    <n v="360"/>
    <x v="0"/>
    <x v="234"/>
    <x v="0"/>
    <x v="0"/>
    <n v="89.189189189189193"/>
    <n v="30"/>
    <n v="360"/>
    <n v="0"/>
    <n v="4.3932872464453636"/>
    <x v="1"/>
  </r>
  <r>
    <n v="299"/>
    <x v="1"/>
    <n v="87.6"/>
    <n v="83300"/>
    <n v="82000"/>
    <n v="0"/>
    <s v="45 to 54"/>
    <n v="415000"/>
    <n v="325000"/>
    <n v="240"/>
    <x v="1"/>
    <x v="235"/>
    <x v="0"/>
    <x v="0"/>
    <n v="78.313253012048193"/>
    <n v="20"/>
    <n v="240"/>
    <n v="0"/>
    <n v="4.6457141175678522"/>
    <x v="0"/>
  </r>
  <r>
    <n v="300"/>
    <x v="33"/>
    <n v="20.05"/>
    <n v="74000"/>
    <n v="76000"/>
    <n v="1"/>
    <s v="45 to 54"/>
    <n v="235000"/>
    <n v="225000"/>
    <n v="360"/>
    <x v="0"/>
    <x v="236"/>
    <x v="0"/>
    <x v="0"/>
    <n v="95.744680851063833"/>
    <n v="39"/>
    <n v="360"/>
    <n v="1"/>
    <n v="4.5313596983712534"/>
    <x v="1"/>
  </r>
  <r>
    <n v="301"/>
    <x v="26"/>
    <n v="13.79"/>
    <n v="69200"/>
    <n v="94000"/>
    <n v="0"/>
    <s v="45 to 54"/>
    <n v="355000"/>
    <n v="275000"/>
    <n v="240"/>
    <x v="3"/>
    <x v="237"/>
    <x v="0"/>
    <x v="0"/>
    <n v="77.464788732394368"/>
    <n v="30"/>
    <n v="240"/>
    <n v="0"/>
    <n v="4.217254089053398"/>
    <x v="0"/>
  </r>
  <r>
    <n v="302"/>
    <x v="0"/>
    <n v="18.100000000000001"/>
    <n v="92100"/>
    <n v="83000"/>
    <n v="0"/>
    <s v="45 to 54"/>
    <n v="265000"/>
    <n v="225000"/>
    <n v="360"/>
    <x v="3"/>
    <x v="219"/>
    <x v="0"/>
    <x v="0"/>
    <n v="84.905660377358487"/>
    <n v="11"/>
    <n v="360"/>
    <n v="0"/>
    <n v="4.3505962248212295"/>
    <x v="1"/>
  </r>
  <r>
    <n v="303"/>
    <x v="28"/>
    <n v="25.87"/>
    <n v="64200"/>
    <n v="226000"/>
    <n v="0"/>
    <s v="45 to 54"/>
    <n v="565000"/>
    <n v="275000"/>
    <n v="180"/>
    <x v="0"/>
    <x v="238"/>
    <x v="1"/>
    <x v="1"/>
    <n v="48.672566371681413"/>
    <n v="47"/>
    <n v="180"/>
    <n v="0"/>
    <n v="4.3467569782659501"/>
    <x v="0"/>
  </r>
  <r>
    <n v="304"/>
    <x v="11"/>
    <n v="33.17"/>
    <n v="82200"/>
    <n v="152000"/>
    <n v="0"/>
    <s v="45 to 54"/>
    <n v="325000"/>
    <n v="155000"/>
    <n v="180"/>
    <x v="2"/>
    <x v="239"/>
    <x v="1"/>
    <x v="0"/>
    <n v="47.692307692307693"/>
    <n v="12"/>
    <n v="180"/>
    <n v="0"/>
    <n v="4.2881907948728131"/>
    <x v="0"/>
  </r>
  <r>
    <n v="305"/>
    <x v="33"/>
    <n v="15.41"/>
    <n v="74000"/>
    <n v="109000"/>
    <n v="0"/>
    <s v="45 to 54"/>
    <n v="345000"/>
    <n v="295000"/>
    <n v="360"/>
    <x v="3"/>
    <x v="240"/>
    <x v="0"/>
    <x v="0"/>
    <n v="85.507246376811594"/>
    <n v="23"/>
    <n v="360"/>
    <n v="0"/>
    <n v="4.2626425192059374"/>
    <x v="1"/>
  </r>
  <r>
    <n v="306"/>
    <x v="8"/>
    <n v="33.94"/>
    <n v="80000"/>
    <n v="68000"/>
    <n v="1"/>
    <s v="45 to 54"/>
    <n v="335000"/>
    <n v="265000"/>
    <n v="360"/>
    <x v="2"/>
    <x v="147"/>
    <x v="0"/>
    <x v="0"/>
    <n v="79.104477611940297"/>
    <n v="44"/>
    <n v="360"/>
    <n v="1"/>
    <n v="5.9284075518814534"/>
    <x v="0"/>
  </r>
  <r>
    <n v="307"/>
    <x v="1"/>
    <n v="93.25"/>
    <n v="83300"/>
    <n v="35000"/>
    <n v="0"/>
    <s v="45 to 54"/>
    <n v="515000"/>
    <n v="255000"/>
    <n v="360"/>
    <x v="1"/>
    <x v="241"/>
    <x v="0"/>
    <x v="0"/>
    <n v="49.514563106796118"/>
    <n v="23"/>
    <n v="360"/>
    <n v="0"/>
    <n v="4.537734878441344"/>
    <x v="0"/>
  </r>
  <r>
    <n v="308"/>
    <x v="11"/>
    <n v="2.98"/>
    <n v="59800"/>
    <n v="107000"/>
    <n v="0"/>
    <s v="45 to 54"/>
    <n v="545000"/>
    <n v="465000"/>
    <n v="360"/>
    <x v="5"/>
    <x v="242"/>
    <x v="0"/>
    <x v="0"/>
    <n v="85.321100917431195"/>
    <n v="9"/>
    <n v="360"/>
    <n v="0"/>
    <n v="3.8407139244260318"/>
    <x v="1"/>
  </r>
  <r>
    <n v="309"/>
    <x v="29"/>
    <n v="20.74"/>
    <n v="85900"/>
    <n v="108000"/>
    <n v="0"/>
    <s v="45 to 54"/>
    <n v="275000"/>
    <n v="205000"/>
    <n v="360"/>
    <x v="0"/>
    <x v="212"/>
    <x v="0"/>
    <x v="0"/>
    <n v="74.545454545454547"/>
    <n v="13"/>
    <n v="360"/>
    <n v="0"/>
    <n v="4.5493808646492457"/>
    <x v="0"/>
  </r>
  <r>
    <n v="310"/>
    <x v="27"/>
    <n v="2.67"/>
    <n v="82300"/>
    <n v="27000"/>
    <n v="0"/>
    <s v="45 to 54"/>
    <n v="325000"/>
    <n v="35000"/>
    <n v="360"/>
    <x v="5"/>
    <x v="243"/>
    <x v="0"/>
    <x v="0"/>
    <n v="10.76923076923077"/>
    <n v="29"/>
    <n v="360"/>
    <n v="0"/>
    <n v="4.4806089465962327"/>
    <x v="0"/>
  </r>
  <r>
    <n v="311"/>
    <x v="10"/>
    <n v="5.09"/>
    <n v="79000"/>
    <n v="82000"/>
    <n v="0"/>
    <s v="45 to 54"/>
    <n v="205000"/>
    <n v="135000"/>
    <n v="360"/>
    <x v="5"/>
    <x v="244"/>
    <x v="0"/>
    <x v="0"/>
    <n v="65.853658536585371"/>
    <n v="34"/>
    <n v="360"/>
    <n v="0"/>
    <n v="4.4571392687930107"/>
    <x v="0"/>
  </r>
  <r>
    <n v="312"/>
    <x v="1"/>
    <n v="98.95"/>
    <n v="83300"/>
    <n v="129000"/>
    <n v="0"/>
    <s v="45 to 54"/>
    <n v="1045000"/>
    <n v="765000"/>
    <n v="360"/>
    <x v="1"/>
    <x v="245"/>
    <x v="0"/>
    <x v="0"/>
    <n v="73.205741626794264"/>
    <n v="23"/>
    <n v="360"/>
    <n v="0"/>
    <n v="4.1348664653215632"/>
    <x v="0"/>
  </r>
  <r>
    <n v="313"/>
    <x v="8"/>
    <n v="25.81"/>
    <n v="97600"/>
    <n v="122000"/>
    <n v="0"/>
    <s v="45 to 54"/>
    <n v="395000"/>
    <n v="355000"/>
    <n v="360"/>
    <x v="0"/>
    <x v="246"/>
    <x v="0"/>
    <x v="0"/>
    <n v="89.87341772151899"/>
    <n v="40"/>
    <n v="360"/>
    <n v="0"/>
    <n v="4.2157871822810513"/>
    <x v="1"/>
  </r>
  <r>
    <n v="314"/>
    <x v="19"/>
    <n v="8.44"/>
    <n v="89100"/>
    <n v="64000"/>
    <n v="0"/>
    <s v="45 to 54"/>
    <n v="275000"/>
    <n v="105000"/>
    <n v="360"/>
    <x v="5"/>
    <x v="247"/>
    <x v="0"/>
    <x v="0"/>
    <n v="38.181818181818187"/>
    <n v="35"/>
    <n v="360"/>
    <n v="0"/>
    <n v="3.7743886752884057"/>
    <x v="0"/>
  </r>
  <r>
    <n v="315"/>
    <x v="9"/>
    <n v="13.25"/>
    <n v="114000"/>
    <n v="65000"/>
    <n v="1"/>
    <s v="45 to 54"/>
    <n v="315000"/>
    <n v="275000"/>
    <n v="360"/>
    <x v="3"/>
    <x v="248"/>
    <x v="0"/>
    <x v="0"/>
    <n v="87.301587301587304"/>
    <n v="37"/>
    <n v="360"/>
    <n v="1"/>
    <n v="4.143893548119971"/>
    <x v="1"/>
  </r>
  <r>
    <n v="316"/>
    <x v="0"/>
    <n v="14.29"/>
    <n v="91700"/>
    <n v="59000"/>
    <n v="0"/>
    <s v="45 to 54"/>
    <n v="325000"/>
    <n v="165000"/>
    <n v="360"/>
    <x v="3"/>
    <x v="249"/>
    <x v="0"/>
    <x v="0"/>
    <n v="50.769230769230766"/>
    <n v="42"/>
    <n v="360"/>
    <n v="0"/>
    <n v="5.3498652686778581"/>
    <x v="0"/>
  </r>
  <r>
    <n v="317"/>
    <x v="8"/>
    <n v="12.2"/>
    <n v="84800"/>
    <n v="151000"/>
    <n v="0"/>
    <s v="45 to 54"/>
    <n v="255000"/>
    <n v="205000"/>
    <n v="360"/>
    <x v="3"/>
    <x v="45"/>
    <x v="0"/>
    <x v="0"/>
    <n v="80.392156862745097"/>
    <n v="26"/>
    <n v="360"/>
    <n v="0"/>
    <n v="5.0725682530276535"/>
    <x v="1"/>
  </r>
  <r>
    <n v="318"/>
    <x v="15"/>
    <n v="20.25"/>
    <n v="92100"/>
    <n v="68000"/>
    <n v="1"/>
    <s v="45 to 54"/>
    <n v="335000"/>
    <n v="315000"/>
    <n v="360"/>
    <x v="0"/>
    <x v="47"/>
    <x v="0"/>
    <x v="0"/>
    <n v="94.029850746268664"/>
    <n v="47"/>
    <n v="360"/>
    <n v="1"/>
    <n v="6.2886767223608118"/>
    <x v="1"/>
  </r>
  <r>
    <n v="319"/>
    <x v="4"/>
    <n v="22.44"/>
    <n v="84600"/>
    <n v="51000"/>
    <n v="0"/>
    <s v="45 to 54"/>
    <n v="185000"/>
    <n v="145000"/>
    <n v="360"/>
    <x v="0"/>
    <x v="24"/>
    <x v="0"/>
    <x v="0"/>
    <n v="78.378378378378372"/>
    <n v="65"/>
    <n v="360"/>
    <n v="0"/>
    <n v="4.636301972427102"/>
    <x v="0"/>
  </r>
  <r>
    <n v="320"/>
    <x v="44"/>
    <n v="17.5"/>
    <n v="92300"/>
    <n v="65000"/>
    <n v="0"/>
    <s v="45 to 54"/>
    <n v="275000"/>
    <n v="215000"/>
    <n v="360"/>
    <x v="3"/>
    <x v="78"/>
    <x v="0"/>
    <x v="0"/>
    <n v="78.181818181818187"/>
    <n v="22"/>
    <n v="360"/>
    <n v="0"/>
    <n v="4.5182697556369824"/>
    <x v="0"/>
  </r>
  <r>
    <n v="321"/>
    <x v="19"/>
    <n v="12.86"/>
    <n v="89100"/>
    <n v="88000"/>
    <n v="0"/>
    <s v="45 to 54"/>
    <n v="245000"/>
    <n v="115000"/>
    <n v="120"/>
    <x v="3"/>
    <x v="250"/>
    <x v="1"/>
    <x v="0"/>
    <n v="46.938775510204081"/>
    <n v="25"/>
    <n v="120"/>
    <n v="0"/>
    <n v="4.8722971842686675"/>
    <x v="0"/>
  </r>
  <r>
    <n v="322"/>
    <x v="34"/>
    <n v="7.27"/>
    <n v="85200"/>
    <n v="107000"/>
    <n v="0"/>
    <s v="45 to 54"/>
    <n v="185000"/>
    <n v="105000"/>
    <n v="180"/>
    <x v="5"/>
    <x v="251"/>
    <x v="1"/>
    <x v="0"/>
    <n v="56.756756756756758"/>
    <n v="33.443836177667201"/>
    <n v="180"/>
    <n v="0"/>
    <n v="4.2459952080084653"/>
    <x v="0"/>
  </r>
  <r>
    <n v="323"/>
    <x v="37"/>
    <n v="14.2"/>
    <n v="62800"/>
    <n v="125000"/>
    <n v="0"/>
    <s v="45 to 54"/>
    <n v="365000"/>
    <n v="285000"/>
    <n v="360"/>
    <x v="3"/>
    <x v="65"/>
    <x v="0"/>
    <x v="0"/>
    <n v="78.082191780821915"/>
    <n v="54"/>
    <n v="360"/>
    <n v="0"/>
    <n v="4.7073328084569468"/>
    <x v="0"/>
  </r>
  <r>
    <n v="324"/>
    <x v="1"/>
    <n v="13.79"/>
    <n v="80400"/>
    <n v="46000"/>
    <n v="0"/>
    <s v="45 to 54"/>
    <n v="245000"/>
    <n v="85000"/>
    <n v="240"/>
    <x v="3"/>
    <x v="252"/>
    <x v="0"/>
    <x v="0"/>
    <n v="34.693877551020407"/>
    <n v="26"/>
    <n v="240"/>
    <n v="0"/>
    <n v="4.4699973140761573"/>
    <x v="0"/>
  </r>
  <r>
    <n v="325"/>
    <x v="1"/>
    <n v="31.74"/>
    <n v="92700"/>
    <n v="130000"/>
    <n v="1"/>
    <s v="45 to 54"/>
    <n v="335000"/>
    <n v="275000"/>
    <n v="360"/>
    <x v="2"/>
    <x v="100"/>
    <x v="0"/>
    <x v="0"/>
    <n v="82.089552238805979"/>
    <n v="38"/>
    <n v="360"/>
    <n v="1"/>
    <n v="5.3498803514670303"/>
    <x v="1"/>
  </r>
  <r>
    <n v="326"/>
    <x v="10"/>
    <n v="5.74"/>
    <n v="79000"/>
    <n v="59000"/>
    <n v="0"/>
    <s v="45 to 54"/>
    <n v="235000"/>
    <n v="165000"/>
    <n v="360"/>
    <x v="5"/>
    <x v="132"/>
    <x v="0"/>
    <x v="0"/>
    <n v="70.212765957446805"/>
    <n v="36"/>
    <n v="360"/>
    <n v="0"/>
    <n v="5.6313322759265176"/>
    <x v="0"/>
  </r>
  <r>
    <n v="327"/>
    <x v="18"/>
    <n v="18.23"/>
    <n v="77800"/>
    <n v="88000"/>
    <n v="0"/>
    <s v="45 to 54"/>
    <n v="355000"/>
    <n v="335000"/>
    <n v="360"/>
    <x v="3"/>
    <x v="253"/>
    <x v="0"/>
    <x v="0"/>
    <n v="94.366197183098592"/>
    <n v="36"/>
    <n v="360"/>
    <n v="0"/>
    <n v="5.0004600318690535"/>
    <x v="1"/>
  </r>
  <r>
    <n v="328"/>
    <x v="8"/>
    <n v="22.84"/>
    <n v="64700"/>
    <n v="105000"/>
    <n v="0"/>
    <s v="45 to 54"/>
    <n v="455000"/>
    <n v="275000"/>
    <n v="180"/>
    <x v="0"/>
    <x v="254"/>
    <x v="1"/>
    <x v="0"/>
    <n v="60.439560439560438"/>
    <n v="31"/>
    <n v="180"/>
    <n v="0"/>
    <n v="3.8262623971586542"/>
    <x v="0"/>
  </r>
  <r>
    <n v="329"/>
    <x v="1"/>
    <n v="62.31"/>
    <n v="139800"/>
    <n v="222000"/>
    <n v="0"/>
    <s v="45 to 54"/>
    <n v="715000"/>
    <n v="575000"/>
    <n v="360"/>
    <x v="1"/>
    <x v="255"/>
    <x v="0"/>
    <x v="0"/>
    <n v="80.419580419580413"/>
    <n v="33"/>
    <n v="360"/>
    <n v="0"/>
    <n v="4.4690192770304131"/>
    <x v="1"/>
  </r>
  <r>
    <n v="330"/>
    <x v="26"/>
    <n v="17.93"/>
    <n v="68100"/>
    <n v="100000"/>
    <n v="0"/>
    <s v="45 to 54"/>
    <n v="255000"/>
    <n v="205000"/>
    <n v="360"/>
    <x v="3"/>
    <x v="45"/>
    <x v="0"/>
    <x v="0"/>
    <n v="80.392156862745097"/>
    <n v="35"/>
    <n v="360"/>
    <n v="0"/>
    <n v="4.2483341246942787"/>
    <x v="1"/>
  </r>
  <r>
    <n v="331"/>
    <x v="2"/>
    <n v="29.38"/>
    <n v="96500"/>
    <n v="93000"/>
    <n v="0"/>
    <s v="45 to 54"/>
    <n v="655000"/>
    <n v="245000"/>
    <n v="180"/>
    <x v="0"/>
    <x v="256"/>
    <x v="1"/>
    <x v="0"/>
    <n v="37.404580152671755"/>
    <n v="42"/>
    <n v="180"/>
    <n v="0"/>
    <n v="4.6157834227178327"/>
    <x v="0"/>
  </r>
  <r>
    <n v="332"/>
    <x v="1"/>
    <n v="33.04"/>
    <n v="75000"/>
    <n v="85000"/>
    <n v="0"/>
    <s v="45 to 54"/>
    <n v="475000"/>
    <n v="275000"/>
    <n v="360"/>
    <x v="2"/>
    <x v="257"/>
    <x v="0"/>
    <x v="0"/>
    <n v="57.894736842105267"/>
    <n v="41"/>
    <n v="360"/>
    <n v="0"/>
    <n v="4.7288645870341526"/>
    <x v="0"/>
  </r>
  <r>
    <n v="333"/>
    <x v="7"/>
    <n v="2.7"/>
    <n v="71700"/>
    <n v="49000"/>
    <n v="0"/>
    <s v="45 to 54"/>
    <n v="155000"/>
    <n v="135000"/>
    <n v="360"/>
    <x v="5"/>
    <x v="209"/>
    <x v="0"/>
    <x v="0"/>
    <n v="87.096774193548384"/>
    <n v="22"/>
    <n v="360"/>
    <n v="0"/>
    <n v="3.686029020602795"/>
    <x v="1"/>
  </r>
  <r>
    <n v="334"/>
    <x v="2"/>
    <n v="49.71"/>
    <n v="96500"/>
    <n v="91000"/>
    <n v="0"/>
    <s v="55 to 64"/>
    <n v="335000"/>
    <n v="255000"/>
    <n v="360"/>
    <x v="4"/>
    <x v="258"/>
    <x v="0"/>
    <x v="0"/>
    <n v="76.119402985074629"/>
    <n v="38"/>
    <n v="360"/>
    <n v="0"/>
    <n v="5.5340108003380575"/>
    <x v="0"/>
  </r>
  <r>
    <n v="335"/>
    <x v="28"/>
    <n v="8.0399999999999991"/>
    <n v="80100"/>
    <n v="124000"/>
    <n v="0"/>
    <s v="55 to 64"/>
    <n v="1605000"/>
    <n v="515000"/>
    <n v="360"/>
    <x v="5"/>
    <x v="259"/>
    <x v="0"/>
    <x v="0"/>
    <n v="32.087227414330215"/>
    <n v="42"/>
    <n v="360"/>
    <n v="0"/>
    <n v="3.8874610777118805"/>
    <x v="0"/>
  </r>
  <r>
    <n v="336"/>
    <x v="1"/>
    <n v="69.959999999999994"/>
    <n v="55600"/>
    <n v="50000"/>
    <n v="0"/>
    <s v="55 to 64"/>
    <n v="305000"/>
    <n v="245000"/>
    <n v="360"/>
    <x v="1"/>
    <x v="32"/>
    <x v="0"/>
    <x v="0"/>
    <n v="80.327868852459019"/>
    <n v="7"/>
    <n v="360"/>
    <n v="0"/>
    <n v="4.910425301913266"/>
    <x v="1"/>
  </r>
  <r>
    <n v="337"/>
    <x v="3"/>
    <n v="36.61"/>
    <n v="124900"/>
    <n v="154000"/>
    <n v="0"/>
    <s v="55 to 64"/>
    <n v="625000"/>
    <n v="495000"/>
    <n v="360"/>
    <x v="2"/>
    <x v="260"/>
    <x v="0"/>
    <x v="0"/>
    <n v="79.2"/>
    <n v="24"/>
    <n v="360"/>
    <n v="0"/>
    <n v="4.7232427547784006"/>
    <x v="0"/>
  </r>
  <r>
    <n v="338"/>
    <x v="1"/>
    <n v="42.81"/>
    <n v="56600"/>
    <n v="66000"/>
    <n v="0"/>
    <s v="55 to 64"/>
    <n v="255000"/>
    <n v="235000"/>
    <n v="360"/>
    <x v="4"/>
    <x v="111"/>
    <x v="0"/>
    <x v="0"/>
    <n v="92.156862745098039"/>
    <n v="44"/>
    <n v="360"/>
    <n v="0"/>
    <n v="5.0152887420745342"/>
    <x v="1"/>
  </r>
  <r>
    <n v="339"/>
    <x v="9"/>
    <n v="22.5"/>
    <n v="114000"/>
    <n v="67000"/>
    <n v="0"/>
    <s v="55 to 64"/>
    <n v="545000"/>
    <n v="315000"/>
    <n v="360"/>
    <x v="0"/>
    <x v="261"/>
    <x v="0"/>
    <x v="0"/>
    <n v="57.798165137614674"/>
    <n v="43"/>
    <n v="360"/>
    <n v="0"/>
    <n v="4.4482464348415736"/>
    <x v="0"/>
  </r>
  <r>
    <n v="340"/>
    <x v="35"/>
    <n v="12.09"/>
    <n v="79600"/>
    <n v="46000"/>
    <n v="0"/>
    <s v="55 to 64"/>
    <n v="135000"/>
    <n v="115000"/>
    <n v="360"/>
    <x v="3"/>
    <x v="262"/>
    <x v="0"/>
    <x v="0"/>
    <n v="85.18518518518519"/>
    <n v="19"/>
    <n v="360"/>
    <n v="0"/>
    <n v="3.7142941925450197"/>
    <x v="1"/>
  </r>
  <r>
    <n v="341"/>
    <x v="1"/>
    <n v="87.71"/>
    <n v="83300"/>
    <n v="181000"/>
    <n v="0"/>
    <s v="55 to 64"/>
    <n v="895000"/>
    <n v="505000"/>
    <n v="360"/>
    <x v="1"/>
    <x v="263"/>
    <x v="0"/>
    <x v="0"/>
    <n v="56.424581005586596"/>
    <n v="21"/>
    <n v="360"/>
    <n v="0"/>
    <n v="4.6815034110983076"/>
    <x v="0"/>
  </r>
  <r>
    <n v="342"/>
    <x v="5"/>
    <n v="81.58"/>
    <n v="124900"/>
    <n v="57000"/>
    <n v="1"/>
    <s v="55 to 64"/>
    <n v="235000"/>
    <n v="215000"/>
    <n v="360"/>
    <x v="1"/>
    <x v="264"/>
    <x v="0"/>
    <x v="0"/>
    <n v="91.489361702127653"/>
    <n v="28"/>
    <n v="360"/>
    <n v="1"/>
    <n v="4.1851870978395551"/>
    <x v="1"/>
  </r>
  <r>
    <n v="343"/>
    <x v="35"/>
    <n v="17.25"/>
    <n v="71100"/>
    <n v="41000"/>
    <n v="0"/>
    <s v="55 to 64"/>
    <n v="245000"/>
    <n v="195000"/>
    <n v="360"/>
    <x v="3"/>
    <x v="265"/>
    <x v="0"/>
    <x v="0"/>
    <n v="79.591836734693871"/>
    <n v="26"/>
    <n v="360"/>
    <n v="0"/>
    <n v="3.8783435566864419"/>
    <x v="0"/>
  </r>
  <r>
    <n v="344"/>
    <x v="1"/>
    <n v="85.78"/>
    <n v="75300"/>
    <n v="143000"/>
    <n v="0"/>
    <s v="55 to 64"/>
    <n v="505000"/>
    <n v="405000"/>
    <n v="360"/>
    <x v="1"/>
    <x v="266"/>
    <x v="0"/>
    <x v="0"/>
    <n v="80.198019801980209"/>
    <n v="16"/>
    <n v="360"/>
    <n v="0"/>
    <n v="4.0247264380746639"/>
    <x v="1"/>
  </r>
  <r>
    <n v="345"/>
    <x v="8"/>
    <n v="48.23"/>
    <n v="65500"/>
    <n v="118000"/>
    <n v="1"/>
    <s v="55 to 64"/>
    <n v="265000"/>
    <n v="225000"/>
    <n v="360"/>
    <x v="4"/>
    <x v="219"/>
    <x v="0"/>
    <x v="0"/>
    <n v="84.905660377358487"/>
    <n v="28"/>
    <n v="360"/>
    <n v="1"/>
    <n v="5.7639435114461914"/>
    <x v="1"/>
  </r>
  <r>
    <n v="346"/>
    <x v="41"/>
    <n v="6.45"/>
    <n v="67400"/>
    <n v="109000"/>
    <n v="0"/>
    <s v="55 to 64"/>
    <n v="235000"/>
    <n v="215000"/>
    <n v="360"/>
    <x v="5"/>
    <x v="264"/>
    <x v="0"/>
    <x v="0"/>
    <n v="91.489361702127653"/>
    <n v="25"/>
    <n v="360"/>
    <n v="0"/>
    <n v="4.0762430698761483"/>
    <x v="1"/>
  </r>
  <r>
    <n v="347"/>
    <x v="27"/>
    <n v="47.52"/>
    <n v="79100"/>
    <n v="269000"/>
    <n v="0"/>
    <s v="55 to 64"/>
    <n v="285000"/>
    <n v="135000"/>
    <n v="180"/>
    <x v="4"/>
    <x v="267"/>
    <x v="1"/>
    <x v="1"/>
    <n v="47.368421052631575"/>
    <n v="27"/>
    <n v="180"/>
    <n v="0"/>
    <n v="4.8774393437709982"/>
    <x v="0"/>
  </r>
  <r>
    <n v="348"/>
    <x v="4"/>
    <n v="2.17"/>
    <n v="69500"/>
    <n v="46000"/>
    <n v="0"/>
    <s v="55 to 64"/>
    <n v="125000"/>
    <n v="95000"/>
    <n v="360"/>
    <x v="5"/>
    <x v="268"/>
    <x v="0"/>
    <x v="0"/>
    <n v="76"/>
    <n v="16"/>
    <n v="360"/>
    <n v="0"/>
    <n v="4.3579067275433756"/>
    <x v="0"/>
  </r>
  <r>
    <n v="349"/>
    <x v="10"/>
    <n v="10.69"/>
    <n v="79700"/>
    <n v="166000"/>
    <n v="0"/>
    <s v="55 to 64"/>
    <n v="445000"/>
    <n v="335000"/>
    <n v="360"/>
    <x v="3"/>
    <x v="269"/>
    <x v="0"/>
    <x v="0"/>
    <n v="75.280898876404493"/>
    <n v="21"/>
    <n v="360"/>
    <n v="0"/>
    <n v="5.0767980539038042"/>
    <x v="0"/>
  </r>
  <r>
    <n v="350"/>
    <x v="8"/>
    <n v="59.65"/>
    <n v="97600"/>
    <n v="142000"/>
    <n v="0"/>
    <s v="55 to 64"/>
    <n v="265000"/>
    <n v="195000"/>
    <n v="360"/>
    <x v="1"/>
    <x v="171"/>
    <x v="0"/>
    <x v="0"/>
    <n v="73.584905660377359"/>
    <n v="32"/>
    <n v="360"/>
    <n v="0"/>
    <n v="4.3269226913644872"/>
    <x v="0"/>
  </r>
  <r>
    <n v="351"/>
    <x v="0"/>
    <n v="19.93"/>
    <n v="77500"/>
    <n v="68000"/>
    <n v="0"/>
    <s v="55 to 64"/>
    <n v="295000"/>
    <n v="185000"/>
    <n v="360"/>
    <x v="3"/>
    <x v="82"/>
    <x v="0"/>
    <x v="0"/>
    <n v="62.711864406779661"/>
    <n v="31"/>
    <n v="360"/>
    <n v="0"/>
    <n v="4.5895614242450034"/>
    <x v="0"/>
  </r>
  <r>
    <n v="352"/>
    <x v="13"/>
    <n v="3.99"/>
    <n v="102800"/>
    <n v="91000"/>
    <n v="0"/>
    <s v="55 to 64"/>
    <n v="495000"/>
    <n v="395000"/>
    <n v="360"/>
    <x v="5"/>
    <x v="118"/>
    <x v="0"/>
    <x v="0"/>
    <n v="79.797979797979806"/>
    <n v="20"/>
    <n v="360"/>
    <n v="0"/>
    <n v="4.5530606649785197"/>
    <x v="0"/>
  </r>
  <r>
    <n v="353"/>
    <x v="4"/>
    <n v="5.48"/>
    <n v="65100"/>
    <n v="37000"/>
    <n v="0"/>
    <s v="55 to 64"/>
    <n v="155000"/>
    <n v="125000"/>
    <n v="360"/>
    <x v="5"/>
    <x v="270"/>
    <x v="0"/>
    <x v="0"/>
    <n v="80.645161290322577"/>
    <n v="23"/>
    <n v="360"/>
    <n v="0"/>
    <n v="5.0055072660372026"/>
    <x v="1"/>
  </r>
  <r>
    <n v="354"/>
    <x v="8"/>
    <n v="74.62"/>
    <n v="72200"/>
    <n v="568000"/>
    <n v="0"/>
    <s v="55 to 64"/>
    <n v="365000"/>
    <n v="275000"/>
    <n v="180"/>
    <x v="1"/>
    <x v="271"/>
    <x v="1"/>
    <x v="1"/>
    <n v="75.342465753424662"/>
    <n v="48"/>
    <n v="180"/>
    <n v="0"/>
    <n v="5.0922350901134656"/>
    <x v="0"/>
  </r>
  <r>
    <n v="355"/>
    <x v="1"/>
    <n v="59.98"/>
    <n v="61700"/>
    <n v="150000"/>
    <n v="0"/>
    <s v="55 to 64"/>
    <n v="445000"/>
    <n v="305000"/>
    <n v="360"/>
    <x v="1"/>
    <x v="272"/>
    <x v="0"/>
    <x v="0"/>
    <n v="68.539325842696627"/>
    <n v="38"/>
    <n v="360"/>
    <n v="0"/>
    <n v="4.9734162304062366"/>
    <x v="0"/>
  </r>
  <r>
    <n v="356"/>
    <x v="1"/>
    <n v="25.16"/>
    <n v="83300"/>
    <n v="96000"/>
    <n v="0"/>
    <s v="55 to 64"/>
    <n v="685000"/>
    <n v="445000"/>
    <n v="360"/>
    <x v="0"/>
    <x v="273"/>
    <x v="0"/>
    <x v="0"/>
    <n v="64.96350364963503"/>
    <n v="30"/>
    <n v="360"/>
    <n v="0"/>
    <n v="4.877000459701164"/>
    <x v="0"/>
  </r>
  <r>
    <n v="357"/>
    <x v="11"/>
    <n v="49.77"/>
    <n v="82200"/>
    <n v="31000"/>
    <n v="0"/>
    <s v="55 to 64"/>
    <n v="205000"/>
    <n v="165000"/>
    <n v="360"/>
    <x v="4"/>
    <x v="112"/>
    <x v="0"/>
    <x v="0"/>
    <n v="80.487804878048792"/>
    <n v="2"/>
    <n v="360"/>
    <n v="0"/>
    <n v="3.5466725846734386"/>
    <x v="1"/>
  </r>
  <r>
    <n v="358"/>
    <x v="18"/>
    <n v="26.52"/>
    <n v="77800"/>
    <n v="114000"/>
    <n v="0"/>
    <s v="55 to 64"/>
    <n v="355000"/>
    <n v="195000"/>
    <n v="360"/>
    <x v="0"/>
    <x v="274"/>
    <x v="0"/>
    <x v="0"/>
    <n v="54.929577464788736"/>
    <n v="2"/>
    <n v="360"/>
    <n v="0"/>
    <n v="3.2785068151213625"/>
    <x v="0"/>
  </r>
  <r>
    <n v="359"/>
    <x v="1"/>
    <n v="18.79"/>
    <n v="92700"/>
    <n v="371000"/>
    <n v="0"/>
    <s v="55 to 64"/>
    <n v="635000"/>
    <n v="475000"/>
    <n v="360"/>
    <x v="3"/>
    <x v="64"/>
    <x v="0"/>
    <x v="1"/>
    <n v="74.803149606299215"/>
    <n v="2"/>
    <n v="360"/>
    <n v="0"/>
    <n v="5.1436848029974893"/>
    <x v="0"/>
  </r>
  <r>
    <n v="360"/>
    <x v="13"/>
    <n v="3.64"/>
    <n v="102800"/>
    <n v="52000"/>
    <n v="1"/>
    <s v="55 to 64"/>
    <n v="155000"/>
    <n v="145000"/>
    <n v="360"/>
    <x v="5"/>
    <x v="225"/>
    <x v="0"/>
    <x v="0"/>
    <n v="93.548387096774192"/>
    <n v="20"/>
    <n v="360"/>
    <n v="1"/>
    <n v="3.8992089383832855"/>
    <x v="1"/>
  </r>
  <r>
    <n v="361"/>
    <x v="21"/>
    <n v="3.56"/>
    <n v="86900"/>
    <n v="57000"/>
    <n v="0"/>
    <s v="55 to 64"/>
    <n v="325000"/>
    <n v="155000"/>
    <n v="360"/>
    <x v="5"/>
    <x v="239"/>
    <x v="0"/>
    <x v="0"/>
    <n v="47.692307692307693"/>
    <n v="34"/>
    <n v="360"/>
    <n v="0"/>
    <n v="5.3646775192128979"/>
    <x v="0"/>
  </r>
  <r>
    <n v="362"/>
    <x v="28"/>
    <n v="33.049999999999997"/>
    <n v="94100"/>
    <n v="69000"/>
    <n v="0"/>
    <s v="55 to 64"/>
    <n v="225000"/>
    <n v="175000"/>
    <n v="360"/>
    <x v="2"/>
    <x v="80"/>
    <x v="0"/>
    <x v="0"/>
    <n v="77.777777777777786"/>
    <n v="24"/>
    <n v="360"/>
    <n v="0"/>
    <n v="4.8056052688333741"/>
    <x v="0"/>
  </r>
  <r>
    <n v="363"/>
    <x v="10"/>
    <n v="6.58"/>
    <n v="62900"/>
    <n v="48000"/>
    <n v="0"/>
    <s v="55 to 64"/>
    <n v="125000"/>
    <n v="95000"/>
    <n v="360"/>
    <x v="5"/>
    <x v="268"/>
    <x v="0"/>
    <x v="0"/>
    <n v="76"/>
    <n v="33"/>
    <n v="360"/>
    <n v="0"/>
    <n v="4.4358541409249952"/>
    <x v="0"/>
  </r>
  <r>
    <n v="364"/>
    <x v="1"/>
    <n v="58.89"/>
    <n v="139800"/>
    <n v="119000"/>
    <n v="0"/>
    <s v="55 to 64"/>
    <n v="925000"/>
    <n v="515000"/>
    <n v="360"/>
    <x v="1"/>
    <x v="275"/>
    <x v="0"/>
    <x v="0"/>
    <n v="55.67567567567567"/>
    <n v="7"/>
    <n v="360"/>
    <n v="0"/>
    <n v="4.448880249959692"/>
    <x v="0"/>
  </r>
  <r>
    <n v="365"/>
    <x v="40"/>
    <n v="59.89"/>
    <n v="70800"/>
    <n v="41000"/>
    <n v="0"/>
    <s v="55 to 64"/>
    <n v="165000"/>
    <n v="135000"/>
    <n v="360"/>
    <x v="1"/>
    <x v="276"/>
    <x v="0"/>
    <x v="0"/>
    <n v="81.818181818181827"/>
    <n v="26"/>
    <n v="360"/>
    <n v="0"/>
    <n v="3.7366837521359777"/>
    <x v="1"/>
  </r>
  <r>
    <n v="366"/>
    <x v="5"/>
    <n v="14.17"/>
    <n v="104000"/>
    <n v="219000"/>
    <n v="0"/>
    <s v="55 to 64"/>
    <n v="805000"/>
    <n v="485000"/>
    <n v="360"/>
    <x v="3"/>
    <x v="277"/>
    <x v="0"/>
    <x v="0"/>
    <n v="60.248447204968947"/>
    <n v="35"/>
    <n v="360"/>
    <n v="0"/>
    <n v="4.5993608588275769"/>
    <x v="0"/>
  </r>
  <r>
    <n v="367"/>
    <x v="7"/>
    <n v="10.36"/>
    <n v="96500"/>
    <n v="133000"/>
    <n v="0"/>
    <s v="55 to 64"/>
    <n v="775000"/>
    <n v="375000"/>
    <n v="360"/>
    <x v="3"/>
    <x v="278"/>
    <x v="0"/>
    <x v="0"/>
    <n v="48.387096774193552"/>
    <n v="42"/>
    <n v="360"/>
    <n v="0"/>
    <n v="4.9551916141223433"/>
    <x v="0"/>
  </r>
  <r>
    <n v="368"/>
    <x v="41"/>
    <n v="8.3699999999999992"/>
    <n v="70400"/>
    <n v="52000"/>
    <n v="0"/>
    <s v="55 to 64"/>
    <n v="255000"/>
    <n v="135000"/>
    <n v="360"/>
    <x v="5"/>
    <x v="279"/>
    <x v="0"/>
    <x v="0"/>
    <n v="52.941176470588239"/>
    <n v="28"/>
    <n v="360"/>
    <n v="0"/>
    <n v="5.0096512493467413"/>
    <x v="0"/>
  </r>
  <r>
    <n v="369"/>
    <x v="34"/>
    <n v="18.95"/>
    <n v="76900"/>
    <n v="108000"/>
    <n v="0"/>
    <s v="55 to 64"/>
    <n v="255000"/>
    <n v="175000"/>
    <n v="180"/>
    <x v="3"/>
    <x v="280"/>
    <x v="1"/>
    <x v="0"/>
    <n v="68.627450980392155"/>
    <n v="34"/>
    <n v="180"/>
    <n v="0"/>
    <n v="5.4916274376589884"/>
    <x v="0"/>
  </r>
  <r>
    <n v="370"/>
    <x v="1"/>
    <n v="25.17"/>
    <n v="127900"/>
    <n v="117000"/>
    <n v="0"/>
    <s v="55 to 64"/>
    <n v="1215000"/>
    <n v="395000"/>
    <n v="240"/>
    <x v="0"/>
    <x v="281"/>
    <x v="0"/>
    <x v="0"/>
    <n v="32.510288065843625"/>
    <n v="56"/>
    <n v="240"/>
    <n v="0"/>
    <n v="4.9857854287602308"/>
    <x v="0"/>
  </r>
  <r>
    <n v="371"/>
    <x v="3"/>
    <n v="81.58"/>
    <n v="89400"/>
    <n v="54000"/>
    <n v="0"/>
    <s v="55 to 64"/>
    <n v="175000"/>
    <n v="125000"/>
    <n v="360"/>
    <x v="1"/>
    <x v="56"/>
    <x v="0"/>
    <x v="0"/>
    <n v="71.428571428571431"/>
    <n v="12"/>
    <n v="360"/>
    <n v="0"/>
    <n v="3.6552204293103081"/>
    <x v="0"/>
  </r>
  <r>
    <n v="372"/>
    <x v="24"/>
    <n v="28.43"/>
    <n v="81000"/>
    <n v="200000"/>
    <n v="0"/>
    <s v="55 to 64"/>
    <n v="805000"/>
    <n v="515000"/>
    <n v="240"/>
    <x v="0"/>
    <x v="282"/>
    <x v="0"/>
    <x v="0"/>
    <n v="63.975155279503106"/>
    <n v="39"/>
    <n v="240"/>
    <n v="0"/>
    <n v="4.7040124424794989"/>
    <x v="0"/>
  </r>
  <r>
    <n v="373"/>
    <x v="1"/>
    <n v="16.559999999999999"/>
    <n v="70700"/>
    <n v="1560000"/>
    <n v="0"/>
    <s v="55 to 64"/>
    <n v="465000"/>
    <n v="325000"/>
    <n v="360"/>
    <x v="3"/>
    <x v="283"/>
    <x v="0"/>
    <x v="1"/>
    <n v="69.892473118279568"/>
    <n v="24"/>
    <n v="360"/>
    <n v="0"/>
    <n v="4.0239058665923446"/>
    <x v="0"/>
  </r>
  <r>
    <n v="374"/>
    <x v="1"/>
    <n v="19.63"/>
    <n v="83300"/>
    <n v="210000"/>
    <n v="0"/>
    <s v="55 to 64"/>
    <n v="855000"/>
    <n v="505000"/>
    <n v="180"/>
    <x v="3"/>
    <x v="284"/>
    <x v="1"/>
    <x v="0"/>
    <n v="59.064327485380119"/>
    <n v="25"/>
    <n v="180"/>
    <n v="0"/>
    <n v="3.7542222721265341"/>
    <x v="0"/>
  </r>
  <r>
    <n v="375"/>
    <x v="40"/>
    <n v="61.26"/>
    <n v="70800"/>
    <n v="59000"/>
    <n v="0"/>
    <s v="55 to 64"/>
    <n v="215000"/>
    <n v="165000"/>
    <n v="360"/>
    <x v="1"/>
    <x v="285"/>
    <x v="0"/>
    <x v="0"/>
    <n v="76.744186046511629"/>
    <n v="33"/>
    <n v="360"/>
    <n v="0"/>
    <n v="4.5757829473445915"/>
    <x v="0"/>
  </r>
  <r>
    <n v="376"/>
    <x v="0"/>
    <n v="18.98"/>
    <n v="86300"/>
    <n v="211000"/>
    <n v="0"/>
    <s v="55 to 64"/>
    <n v="705000"/>
    <n v="415000"/>
    <n v="360"/>
    <x v="3"/>
    <x v="70"/>
    <x v="0"/>
    <x v="0"/>
    <n v="58.865248226950349"/>
    <n v="33"/>
    <n v="360"/>
    <n v="0"/>
    <n v="5.0122093228239883"/>
    <x v="0"/>
  </r>
  <r>
    <n v="377"/>
    <x v="3"/>
    <n v="15.44"/>
    <n v="83400"/>
    <n v="44000"/>
    <n v="0"/>
    <s v="55 to 64"/>
    <n v="265000"/>
    <n v="115000"/>
    <n v="360"/>
    <x v="3"/>
    <x v="286"/>
    <x v="0"/>
    <x v="0"/>
    <n v="43.39622641509434"/>
    <n v="38"/>
    <n v="360"/>
    <n v="0"/>
    <n v="5.2398847839671543"/>
    <x v="0"/>
  </r>
  <r>
    <n v="378"/>
    <x v="35"/>
    <n v="4.3499999999999996"/>
    <n v="81300"/>
    <n v="80000"/>
    <n v="0"/>
    <s v="55 to 64"/>
    <n v="255000"/>
    <n v="245000"/>
    <n v="360"/>
    <x v="5"/>
    <x v="91"/>
    <x v="0"/>
    <x v="0"/>
    <n v="96.078431372549019"/>
    <n v="43"/>
    <n v="360"/>
    <n v="0"/>
    <n v="5.8083459259522598"/>
    <x v="1"/>
  </r>
  <r>
    <n v="379"/>
    <x v="11"/>
    <n v="40.08"/>
    <n v="82200"/>
    <n v="208000"/>
    <n v="0"/>
    <s v="55 to 64"/>
    <n v="625000"/>
    <n v="455000"/>
    <n v="360"/>
    <x v="4"/>
    <x v="287"/>
    <x v="0"/>
    <x v="0"/>
    <n v="72.8"/>
    <n v="53"/>
    <n v="360"/>
    <n v="0"/>
    <n v="4.4109070277287126"/>
    <x v="0"/>
  </r>
  <r>
    <n v="380"/>
    <x v="4"/>
    <n v="7.3"/>
    <n v="85200"/>
    <n v="109000"/>
    <n v="0"/>
    <s v="55 to 64"/>
    <n v="325000"/>
    <n v="275000"/>
    <n v="360"/>
    <x v="5"/>
    <x v="195"/>
    <x v="0"/>
    <x v="0"/>
    <n v="84.615384615384613"/>
    <n v="32"/>
    <n v="360"/>
    <n v="0"/>
    <n v="4.6117387540525261"/>
    <x v="1"/>
  </r>
  <r>
    <n v="381"/>
    <x v="6"/>
    <n v="22.75"/>
    <n v="100000"/>
    <n v="160000"/>
    <n v="0"/>
    <s v="55 to 64"/>
    <n v="425000"/>
    <n v="265000"/>
    <n v="360"/>
    <x v="0"/>
    <x v="288"/>
    <x v="0"/>
    <x v="0"/>
    <n v="62.352941176470587"/>
    <n v="15"/>
    <n v="360"/>
    <n v="0"/>
    <n v="4.1005191826194194"/>
    <x v="0"/>
  </r>
  <r>
    <n v="382"/>
    <x v="29"/>
    <n v="11.96"/>
    <n v="85900"/>
    <n v="232000"/>
    <n v="0"/>
    <s v="55 to 64"/>
    <n v="1155000"/>
    <n v="515000"/>
    <n v="240"/>
    <x v="3"/>
    <x v="289"/>
    <x v="0"/>
    <x v="1"/>
    <n v="44.588744588744589"/>
    <n v="39"/>
    <n v="240"/>
    <n v="0"/>
    <n v="4.3982897987781397"/>
    <x v="0"/>
  </r>
  <r>
    <n v="383"/>
    <x v="4"/>
    <n v="3.66"/>
    <n v="72800"/>
    <n v="100000"/>
    <n v="0"/>
    <s v="55 to 64"/>
    <n v="265000"/>
    <n v="165000"/>
    <n v="240"/>
    <x v="5"/>
    <x v="135"/>
    <x v="0"/>
    <x v="0"/>
    <n v="62.264150943396224"/>
    <n v="35"/>
    <n v="240"/>
    <n v="0"/>
    <n v="5.3171694777318574"/>
    <x v="0"/>
  </r>
  <r>
    <n v="384"/>
    <x v="19"/>
    <n v="19.190000000000001"/>
    <n v="89100"/>
    <n v="88000"/>
    <n v="1"/>
    <s v="55 to 64"/>
    <n v="285000"/>
    <n v="255000"/>
    <n v="360"/>
    <x v="3"/>
    <x v="37"/>
    <x v="0"/>
    <x v="0"/>
    <n v="89.473684210526315"/>
    <n v="22"/>
    <n v="360"/>
    <n v="1"/>
    <n v="5.7530282509842792"/>
    <x v="1"/>
  </r>
  <r>
    <n v="385"/>
    <x v="11"/>
    <n v="17.190000000000001"/>
    <n v="82200"/>
    <n v="69000"/>
    <n v="0"/>
    <s v="55 to 64"/>
    <n v="305000"/>
    <n v="275000"/>
    <n v="360"/>
    <x v="3"/>
    <x v="113"/>
    <x v="0"/>
    <x v="0"/>
    <n v="90.163934426229503"/>
    <n v="41"/>
    <n v="360"/>
    <n v="0"/>
    <n v="5.190809168889718"/>
    <x v="1"/>
  </r>
  <r>
    <n v="386"/>
    <x v="4"/>
    <n v="3.04"/>
    <n v="65100"/>
    <n v="58000"/>
    <n v="0"/>
    <s v="55 to 64"/>
    <n v="145000"/>
    <n v="135000"/>
    <n v="360"/>
    <x v="5"/>
    <x v="229"/>
    <x v="0"/>
    <x v="0"/>
    <n v="93.103448275862064"/>
    <n v="27"/>
    <n v="360"/>
    <n v="0"/>
    <n v="4.5896906744764898"/>
    <x v="1"/>
  </r>
  <r>
    <n v="387"/>
    <x v="27"/>
    <n v="5.53"/>
    <n v="80400"/>
    <n v="110000"/>
    <n v="0"/>
    <s v="55 to 64"/>
    <n v="325000"/>
    <n v="255000"/>
    <n v="360"/>
    <x v="5"/>
    <x v="164"/>
    <x v="0"/>
    <x v="0"/>
    <n v="78.461538461538467"/>
    <n v="22"/>
    <n v="360"/>
    <n v="0"/>
    <n v="5.4665985616244974"/>
    <x v="0"/>
  </r>
  <r>
    <n v="388"/>
    <x v="8"/>
    <n v="91.46"/>
    <n v="80000"/>
    <n v="45000"/>
    <n v="0"/>
    <s v="55 to 64"/>
    <n v="185000"/>
    <n v="125000"/>
    <n v="360"/>
    <x v="1"/>
    <x v="177"/>
    <x v="0"/>
    <x v="0"/>
    <n v="67.567567567567565"/>
    <n v="26"/>
    <n v="360"/>
    <n v="0"/>
    <n v="4.0984223516554508"/>
    <x v="0"/>
  </r>
  <r>
    <n v="389"/>
    <x v="10"/>
    <n v="5.37"/>
    <n v="79700"/>
    <n v="138000"/>
    <n v="0"/>
    <s v="55 to 64"/>
    <n v="325000"/>
    <n v="245000"/>
    <n v="180"/>
    <x v="5"/>
    <x v="159"/>
    <x v="1"/>
    <x v="0"/>
    <n v="75.384615384615387"/>
    <n v="26"/>
    <n v="180"/>
    <n v="0"/>
    <n v="4.9691571883624217"/>
    <x v="0"/>
  </r>
  <r>
    <n v="390"/>
    <x v="45"/>
    <n v="16.91"/>
    <n v="93100"/>
    <n v="66000"/>
    <n v="0"/>
    <s v="55 to 64"/>
    <n v="315000"/>
    <n v="245000"/>
    <n v="360"/>
    <x v="3"/>
    <x v="80"/>
    <x v="0"/>
    <x v="0"/>
    <n v="77.777777777777786"/>
    <n v="27"/>
    <n v="360"/>
    <n v="0"/>
    <n v="4.2127151475696705"/>
    <x v="0"/>
  </r>
  <r>
    <n v="391"/>
    <x v="0"/>
    <n v="14.44"/>
    <n v="106900"/>
    <n v="173000"/>
    <n v="0"/>
    <s v="55 to 64"/>
    <n v="785000"/>
    <n v="565000"/>
    <n v="360"/>
    <x v="3"/>
    <x v="290"/>
    <x v="0"/>
    <x v="0"/>
    <n v="71.974522292993626"/>
    <n v="28"/>
    <n v="360"/>
    <n v="0"/>
    <n v="3.6967178770096978"/>
    <x v="0"/>
  </r>
  <r>
    <n v="392"/>
    <x v="26"/>
    <n v="31.33"/>
    <n v="82300"/>
    <n v="159000"/>
    <n v="0"/>
    <s v="55 to 64"/>
    <n v="165000"/>
    <n v="115000"/>
    <n v="360"/>
    <x v="2"/>
    <x v="291"/>
    <x v="0"/>
    <x v="0"/>
    <n v="69.696969696969703"/>
    <n v="38"/>
    <n v="360"/>
    <n v="0"/>
    <n v="4.5304575497711337"/>
    <x v="0"/>
  </r>
  <r>
    <n v="393"/>
    <x v="38"/>
    <n v="26.44"/>
    <n v="54700"/>
    <n v="66000"/>
    <n v="0"/>
    <s v="55 to 64"/>
    <n v="165000"/>
    <n v="155000"/>
    <n v="360"/>
    <x v="0"/>
    <x v="292"/>
    <x v="0"/>
    <x v="0"/>
    <n v="93.939393939393938"/>
    <n v="18"/>
    <n v="360"/>
    <n v="0"/>
    <n v="4.213277311778028"/>
    <x v="1"/>
  </r>
  <r>
    <n v="394"/>
    <x v="26"/>
    <n v="45.18"/>
    <n v="74800"/>
    <n v="100000"/>
    <n v="0"/>
    <s v="55 to 64"/>
    <n v="295000"/>
    <n v="185000"/>
    <n v="180"/>
    <x v="4"/>
    <x v="82"/>
    <x v="1"/>
    <x v="0"/>
    <n v="62.711864406779661"/>
    <n v="41"/>
    <n v="180"/>
    <n v="0"/>
    <n v="5.125242659598757"/>
    <x v="0"/>
  </r>
  <r>
    <n v="395"/>
    <x v="18"/>
    <n v="5.89"/>
    <n v="77800"/>
    <n v="156000"/>
    <n v="0"/>
    <s v="55 to 64"/>
    <n v="435000"/>
    <n v="285000"/>
    <n v="180"/>
    <x v="5"/>
    <x v="174"/>
    <x v="1"/>
    <x v="0"/>
    <n v="65.517241379310349"/>
    <n v="15"/>
    <n v="180"/>
    <n v="0"/>
    <n v="4.2424065665923338"/>
    <x v="0"/>
  </r>
  <r>
    <n v="396"/>
    <x v="18"/>
    <n v="45.81"/>
    <n v="77800"/>
    <n v="168000"/>
    <n v="0"/>
    <s v="55 to 64"/>
    <n v="355000"/>
    <n v="295000"/>
    <n v="360"/>
    <x v="4"/>
    <x v="293"/>
    <x v="0"/>
    <x v="0"/>
    <n v="83.098591549295776"/>
    <n v="32"/>
    <n v="360"/>
    <n v="0"/>
    <n v="5.2891205962060619"/>
    <x v="1"/>
  </r>
  <r>
    <n v="397"/>
    <x v="3"/>
    <n v="33.18"/>
    <n v="82400"/>
    <n v="115000"/>
    <n v="0"/>
    <s v="55 to 64"/>
    <n v="385000"/>
    <n v="305000"/>
    <n v="360"/>
    <x v="2"/>
    <x v="294"/>
    <x v="0"/>
    <x v="0"/>
    <n v="79.220779220779221"/>
    <n v="22"/>
    <n v="360"/>
    <n v="0"/>
    <n v="5.2205204464638886"/>
    <x v="0"/>
  </r>
  <r>
    <n v="398"/>
    <x v="28"/>
    <n v="42.23"/>
    <n v="88900"/>
    <n v="235000"/>
    <n v="1"/>
    <s v="55 to 64"/>
    <n v="595000"/>
    <n v="475000"/>
    <n v="360"/>
    <x v="4"/>
    <x v="18"/>
    <x v="0"/>
    <x v="1"/>
    <n v="79.831932773109244"/>
    <n v="34"/>
    <n v="360"/>
    <n v="1"/>
    <n v="5.0191715965592332"/>
    <x v="0"/>
  </r>
  <r>
    <n v="399"/>
    <x v="1"/>
    <n v="94.36"/>
    <n v="87800"/>
    <n v="170000"/>
    <n v="0"/>
    <s v="55 to 64"/>
    <n v="365000"/>
    <n v="225000"/>
    <n v="360"/>
    <x v="1"/>
    <x v="295"/>
    <x v="0"/>
    <x v="0"/>
    <n v="61.643835616438359"/>
    <n v="41"/>
    <n v="360"/>
    <n v="0"/>
    <n v="3.8939960683234238"/>
    <x v="0"/>
  </r>
  <r>
    <n v="400"/>
    <x v="23"/>
    <n v="11.36"/>
    <n v="70800"/>
    <n v="78000"/>
    <n v="0"/>
    <s v="55 to 64"/>
    <n v="255000"/>
    <n v="165000"/>
    <n v="240"/>
    <x v="3"/>
    <x v="60"/>
    <x v="0"/>
    <x v="0"/>
    <n v="64.705882352941174"/>
    <n v="19"/>
    <n v="240"/>
    <n v="0"/>
    <n v="3.3851393395728797"/>
    <x v="0"/>
  </r>
  <r>
    <n v="401"/>
    <x v="24"/>
    <n v="21.73"/>
    <n v="71400"/>
    <n v="75000"/>
    <n v="0"/>
    <s v="55 to 64"/>
    <n v="345000"/>
    <n v="265000"/>
    <n v="240"/>
    <x v="0"/>
    <x v="296"/>
    <x v="0"/>
    <x v="0"/>
    <n v="76.811594202898547"/>
    <n v="15"/>
    <n v="240"/>
    <n v="0"/>
    <n v="5.0812750545167109"/>
    <x v="0"/>
  </r>
  <r>
    <n v="402"/>
    <x v="4"/>
    <n v="4.3600000000000003"/>
    <n v="84600"/>
    <n v="172000"/>
    <n v="0"/>
    <s v="55 to 64"/>
    <n v="945000"/>
    <n v="405000"/>
    <n v="180"/>
    <x v="5"/>
    <x v="297"/>
    <x v="1"/>
    <x v="0"/>
    <n v="42.857142857142854"/>
    <n v="22"/>
    <n v="180"/>
    <n v="0"/>
    <n v="3.6507364888419471"/>
    <x v="0"/>
  </r>
  <r>
    <n v="403"/>
    <x v="27"/>
    <n v="9.2799999999999994"/>
    <n v="82300"/>
    <n v="190000"/>
    <n v="1"/>
    <s v="55 to 64"/>
    <n v="345000"/>
    <n v="305000"/>
    <n v="360"/>
    <x v="5"/>
    <x v="298"/>
    <x v="0"/>
    <x v="0"/>
    <n v="88.405797101449281"/>
    <n v="28"/>
    <n v="360"/>
    <n v="1"/>
    <n v="5.4565104248712109"/>
    <x v="1"/>
  </r>
  <r>
    <n v="404"/>
    <x v="9"/>
    <n v="4.87"/>
    <n v="114000"/>
    <n v="90000"/>
    <n v="0"/>
    <s v="55 to 64"/>
    <n v="295000"/>
    <n v="235000"/>
    <n v="240"/>
    <x v="5"/>
    <x v="25"/>
    <x v="0"/>
    <x v="0"/>
    <n v="79.66101694915254"/>
    <n v="36"/>
    <n v="240"/>
    <n v="0"/>
    <n v="5.5295333630756307"/>
    <x v="0"/>
  </r>
  <r>
    <n v="405"/>
    <x v="5"/>
    <n v="18.649999999999999"/>
    <n v="85900"/>
    <n v="86000"/>
    <n v="0"/>
    <s v="55 to 64"/>
    <n v="395000"/>
    <n v="185000"/>
    <n v="360"/>
    <x v="3"/>
    <x v="299"/>
    <x v="0"/>
    <x v="0"/>
    <n v="46.835443037974684"/>
    <n v="56"/>
    <n v="360"/>
    <n v="0"/>
    <n v="3.9575181844820406"/>
    <x v="0"/>
  </r>
  <r>
    <n v="406"/>
    <x v="42"/>
    <n v="13.02"/>
    <n v="96600"/>
    <n v="123000"/>
    <n v="0"/>
    <s v="55 to 64"/>
    <n v="365000"/>
    <n v="265000"/>
    <n v="240"/>
    <x v="3"/>
    <x v="300"/>
    <x v="0"/>
    <x v="0"/>
    <n v="72.602739726027394"/>
    <n v="25"/>
    <n v="240"/>
    <n v="0"/>
    <n v="4.7129181331202465"/>
    <x v="0"/>
  </r>
  <r>
    <n v="407"/>
    <x v="18"/>
    <n v="10.3"/>
    <n v="77800"/>
    <n v="107000"/>
    <n v="0"/>
    <s v="55 to 64"/>
    <n v="425000"/>
    <n v="255000"/>
    <n v="360"/>
    <x v="3"/>
    <x v="301"/>
    <x v="0"/>
    <x v="0"/>
    <n v="60"/>
    <n v="37"/>
    <n v="360"/>
    <n v="0"/>
    <n v="5.4423589974900679"/>
    <x v="0"/>
  </r>
  <r>
    <n v="408"/>
    <x v="2"/>
    <n v="29.35"/>
    <n v="96500"/>
    <n v="60000"/>
    <n v="0"/>
    <s v="55 to 64"/>
    <n v="345000"/>
    <n v="275000"/>
    <n v="360"/>
    <x v="0"/>
    <x v="143"/>
    <x v="0"/>
    <x v="0"/>
    <n v="79.710144927536234"/>
    <n v="32"/>
    <n v="360"/>
    <n v="0"/>
    <n v="5.2321618089135651"/>
    <x v="0"/>
  </r>
  <r>
    <n v="409"/>
    <x v="1"/>
    <n v="78.14"/>
    <n v="86700"/>
    <n v="62000"/>
    <n v="0"/>
    <s v="55 to 64"/>
    <n v="255000"/>
    <n v="155000"/>
    <n v="360"/>
    <x v="1"/>
    <x v="302"/>
    <x v="0"/>
    <x v="0"/>
    <n v="60.784313725490193"/>
    <n v="55"/>
    <n v="360"/>
    <n v="0"/>
    <n v="4.4406063937787401"/>
    <x v="0"/>
  </r>
  <r>
    <n v="410"/>
    <x v="1"/>
    <n v="78.349999999999994"/>
    <n v="127900"/>
    <n v="149000"/>
    <n v="0"/>
    <s v="55 to 64"/>
    <n v="685000"/>
    <n v="435000"/>
    <n v="360"/>
    <x v="1"/>
    <x v="303"/>
    <x v="0"/>
    <x v="0"/>
    <n v="63.503649635036496"/>
    <n v="27"/>
    <n v="360"/>
    <n v="0"/>
    <n v="5.4606479302586113"/>
    <x v="0"/>
  </r>
  <r>
    <n v="411"/>
    <x v="1"/>
    <n v="63.85"/>
    <n v="83300"/>
    <n v="126000"/>
    <n v="1"/>
    <s v="55 to 64"/>
    <n v="1265000"/>
    <n v="655000"/>
    <n v="360"/>
    <x v="1"/>
    <x v="304"/>
    <x v="0"/>
    <x v="0"/>
    <n v="51.778656126482211"/>
    <n v="45"/>
    <n v="360"/>
    <n v="1"/>
    <n v="5.0049663547916721"/>
    <x v="0"/>
  </r>
  <r>
    <n v="412"/>
    <x v="5"/>
    <n v="30.11"/>
    <n v="104000"/>
    <n v="90000"/>
    <n v="0"/>
    <s v="55 to 64"/>
    <n v="255000"/>
    <n v="225000"/>
    <n v="360"/>
    <x v="2"/>
    <x v="224"/>
    <x v="0"/>
    <x v="0"/>
    <n v="88.235294117647058"/>
    <n v="48"/>
    <n v="360"/>
    <n v="0"/>
    <n v="5.6700611388094959"/>
    <x v="1"/>
  </r>
  <r>
    <n v="413"/>
    <x v="26"/>
    <n v="40.44"/>
    <n v="68100"/>
    <n v="96000"/>
    <n v="0"/>
    <s v="55 to 64"/>
    <n v="385000"/>
    <n v="275000"/>
    <n v="360"/>
    <x v="4"/>
    <x v="56"/>
    <x v="0"/>
    <x v="0"/>
    <n v="71.428571428571431"/>
    <n v="10"/>
    <n v="360"/>
    <n v="0"/>
    <n v="4.9769561958097501"/>
    <x v="0"/>
  </r>
  <r>
    <n v="414"/>
    <x v="19"/>
    <n v="52.91"/>
    <n v="89100"/>
    <n v="134000"/>
    <n v="0"/>
    <s v="55 to 64"/>
    <n v="285000"/>
    <n v="195000"/>
    <n v="360"/>
    <x v="1"/>
    <x v="84"/>
    <x v="0"/>
    <x v="0"/>
    <n v="68.421052631578945"/>
    <n v="17"/>
    <n v="360"/>
    <n v="0"/>
    <n v="5.2072667401672366"/>
    <x v="0"/>
  </r>
  <r>
    <n v="415"/>
    <x v="35"/>
    <n v="7.09"/>
    <n v="89100"/>
    <n v="64000"/>
    <n v="1"/>
    <s v="55 to 64"/>
    <n v="165000"/>
    <n v="105000"/>
    <n v="360"/>
    <x v="5"/>
    <x v="66"/>
    <x v="0"/>
    <x v="0"/>
    <n v="63.636363636363633"/>
    <n v="29"/>
    <n v="360"/>
    <n v="1"/>
    <n v="4.0187280406889654"/>
    <x v="0"/>
  </r>
  <r>
    <n v="416"/>
    <x v="6"/>
    <n v="8.6999999999999993"/>
    <n v="100000"/>
    <n v="194000"/>
    <n v="0"/>
    <s v="55 to 64"/>
    <n v="745000"/>
    <n v="575000"/>
    <n v="360"/>
    <x v="5"/>
    <x v="305"/>
    <x v="0"/>
    <x v="0"/>
    <n v="77.181208053691279"/>
    <n v="39"/>
    <n v="360"/>
    <n v="0"/>
    <n v="5.0567308636121266"/>
    <x v="0"/>
  </r>
  <r>
    <n v="417"/>
    <x v="11"/>
    <n v="7.02"/>
    <n v="82200"/>
    <n v="137000"/>
    <n v="0"/>
    <s v="55 to 64"/>
    <n v="545000"/>
    <n v="405000"/>
    <n v="360"/>
    <x v="5"/>
    <x v="306"/>
    <x v="0"/>
    <x v="0"/>
    <n v="74.311926605504581"/>
    <n v="29"/>
    <n v="360"/>
    <n v="0"/>
    <n v="5.5523318497818401"/>
    <x v="0"/>
  </r>
  <r>
    <n v="418"/>
    <x v="23"/>
    <n v="16.72"/>
    <n v="72600"/>
    <n v="52000"/>
    <n v="0"/>
    <s v="55 to 64"/>
    <n v="115000"/>
    <n v="95000"/>
    <n v="360"/>
    <x v="3"/>
    <x v="40"/>
    <x v="0"/>
    <x v="0"/>
    <n v="82.608695652173907"/>
    <n v="26"/>
    <n v="360"/>
    <n v="0"/>
    <n v="3.7830268260698587"/>
    <x v="1"/>
  </r>
  <r>
    <n v="419"/>
    <x v="9"/>
    <n v="42.23"/>
    <n v="114000"/>
    <n v="57000"/>
    <n v="0"/>
    <s v="55 to 64"/>
    <n v="445000"/>
    <n v="335000"/>
    <n v="360"/>
    <x v="4"/>
    <x v="269"/>
    <x v="0"/>
    <x v="0"/>
    <n v="75.280898876404493"/>
    <n v="32"/>
    <n v="360"/>
    <n v="0"/>
    <n v="5.1140309218871369"/>
    <x v="0"/>
  </r>
  <r>
    <n v="420"/>
    <x v="26"/>
    <n v="34.49"/>
    <n v="76700"/>
    <n v="79000"/>
    <n v="1"/>
    <s v="55 to 64"/>
    <n v="145000"/>
    <n v="105000"/>
    <n v="360"/>
    <x v="2"/>
    <x v="50"/>
    <x v="0"/>
    <x v="0"/>
    <n v="72.41379310344827"/>
    <n v="15"/>
    <n v="360"/>
    <n v="1"/>
    <n v="4.6162018343381606"/>
    <x v="0"/>
  </r>
  <r>
    <n v="421"/>
    <x v="1"/>
    <n v="74.23"/>
    <n v="86700"/>
    <n v="64000"/>
    <n v="0"/>
    <s v="55 to 64"/>
    <n v="635000"/>
    <n v="305000"/>
    <n v="360"/>
    <x v="1"/>
    <x v="307"/>
    <x v="0"/>
    <x v="0"/>
    <n v="48.031496062992126"/>
    <n v="39"/>
    <n v="360"/>
    <n v="0"/>
    <n v="5.1245495350609627"/>
    <x v="0"/>
  </r>
  <r>
    <n v="422"/>
    <x v="3"/>
    <n v="17.2"/>
    <n v="82400"/>
    <n v="65000"/>
    <n v="0"/>
    <s v="65 to 74"/>
    <n v="255000"/>
    <n v="205000"/>
    <n v="360"/>
    <x v="3"/>
    <x v="45"/>
    <x v="0"/>
    <x v="0"/>
    <n v="80.392156862745097"/>
    <n v="14"/>
    <n v="360"/>
    <n v="0"/>
    <n v="4.7270556687140441"/>
    <x v="1"/>
  </r>
  <r>
    <n v="423"/>
    <x v="1"/>
    <n v="43.85"/>
    <n v="61700"/>
    <n v="91000"/>
    <n v="0"/>
    <s v="65 to 74"/>
    <n v="335000"/>
    <n v="265000"/>
    <n v="360"/>
    <x v="4"/>
    <x v="147"/>
    <x v="0"/>
    <x v="0"/>
    <n v="79.104477611940297"/>
    <n v="33"/>
    <n v="360"/>
    <n v="0"/>
    <n v="4.2395517158779583"/>
    <x v="0"/>
  </r>
  <r>
    <n v="424"/>
    <x v="17"/>
    <n v="4.18"/>
    <n v="82600"/>
    <n v="43000"/>
    <n v="0"/>
    <s v="65 to 74"/>
    <n v="145000"/>
    <n v="135000"/>
    <n v="360"/>
    <x v="5"/>
    <x v="229"/>
    <x v="0"/>
    <x v="0"/>
    <n v="93.103448275862064"/>
    <n v="25"/>
    <n v="360"/>
    <n v="0"/>
    <n v="5.392238611586798"/>
    <x v="1"/>
  </r>
  <r>
    <n v="425"/>
    <x v="13"/>
    <n v="20.96"/>
    <n v="102800"/>
    <n v="69000"/>
    <n v="0"/>
    <s v="65 to 74"/>
    <n v="205000"/>
    <n v="65000"/>
    <n v="180"/>
    <x v="0"/>
    <x v="308"/>
    <x v="1"/>
    <x v="0"/>
    <n v="31.707317073170731"/>
    <n v="20"/>
    <n v="180"/>
    <n v="0"/>
    <n v="2.9225727806111141"/>
    <x v="0"/>
  </r>
  <r>
    <n v="426"/>
    <x v="7"/>
    <n v="5.37"/>
    <n v="73800"/>
    <n v="700000"/>
    <n v="0"/>
    <s v="65 to 74"/>
    <n v="555000"/>
    <n v="495000"/>
    <n v="360"/>
    <x v="5"/>
    <x v="234"/>
    <x v="0"/>
    <x v="0"/>
    <n v="89.189189189189193"/>
    <n v="25"/>
    <n v="360"/>
    <n v="0"/>
    <n v="4.6696326438565459"/>
    <x v="1"/>
  </r>
  <r>
    <n v="427"/>
    <x v="1"/>
    <n v="25.97"/>
    <n v="75300"/>
    <n v="84000"/>
    <n v="0"/>
    <s v="65 to 74"/>
    <n v="575000"/>
    <n v="255000"/>
    <n v="180"/>
    <x v="0"/>
    <x v="309"/>
    <x v="1"/>
    <x v="0"/>
    <n v="44.347826086956523"/>
    <n v="11"/>
    <n v="180"/>
    <n v="0"/>
    <n v="3.2500707458582756"/>
    <x v="0"/>
  </r>
  <r>
    <n v="428"/>
    <x v="8"/>
    <n v="35.32"/>
    <n v="89600"/>
    <n v="74000"/>
    <n v="0"/>
    <s v="65 to 74"/>
    <n v="315000"/>
    <n v="245000"/>
    <n v="240"/>
    <x v="2"/>
    <x v="80"/>
    <x v="0"/>
    <x v="0"/>
    <n v="77.777777777777786"/>
    <n v="15"/>
    <n v="240"/>
    <n v="0"/>
    <n v="4.0692530409693841"/>
    <x v="0"/>
  </r>
  <r>
    <n v="429"/>
    <x v="7"/>
    <n v="14.72"/>
    <n v="75500"/>
    <n v="62000"/>
    <n v="0"/>
    <s v="65 to 74"/>
    <n v="205000"/>
    <n v="155000"/>
    <n v="360"/>
    <x v="3"/>
    <x v="310"/>
    <x v="0"/>
    <x v="0"/>
    <n v="75.609756097560975"/>
    <n v="29"/>
    <n v="360"/>
    <n v="0"/>
    <n v="5.506468512019473"/>
    <x v="0"/>
  </r>
  <r>
    <n v="430"/>
    <x v="0"/>
    <n v="8.85"/>
    <n v="77600"/>
    <n v="105000"/>
    <n v="0"/>
    <s v="65 to 74"/>
    <n v="325000"/>
    <n v="245000"/>
    <n v="360"/>
    <x v="5"/>
    <x v="159"/>
    <x v="0"/>
    <x v="0"/>
    <n v="75.384615384615387"/>
    <n v="29"/>
    <n v="360"/>
    <n v="0"/>
    <n v="4.5757653168402754"/>
    <x v="0"/>
  </r>
  <r>
    <n v="431"/>
    <x v="3"/>
    <n v="2.68"/>
    <n v="60400"/>
    <n v="95000"/>
    <n v="0"/>
    <s v="65 to 74"/>
    <n v="465000"/>
    <n v="225000"/>
    <n v="180"/>
    <x v="5"/>
    <x v="278"/>
    <x v="1"/>
    <x v="0"/>
    <n v="48.387096774193552"/>
    <n v="31"/>
    <n v="180"/>
    <n v="0"/>
    <n v="5.280135517770761"/>
    <x v="0"/>
  </r>
  <r>
    <n v="432"/>
    <x v="22"/>
    <n v="12.65"/>
    <n v="83800"/>
    <n v="145000"/>
    <n v="0"/>
    <s v="65 to 74"/>
    <n v="645000"/>
    <n v="505000"/>
    <n v="360"/>
    <x v="3"/>
    <x v="311"/>
    <x v="0"/>
    <x v="0"/>
    <n v="78.294573643410843"/>
    <n v="42"/>
    <n v="360"/>
    <n v="0"/>
    <n v="5.7140485242584216"/>
    <x v="0"/>
  </r>
  <r>
    <n v="433"/>
    <x v="1"/>
    <n v="91.11"/>
    <n v="86700"/>
    <n v="58000"/>
    <n v="1"/>
    <s v="65 to 74"/>
    <n v="325000"/>
    <n v="315000"/>
    <n v="360"/>
    <x v="1"/>
    <x v="312"/>
    <x v="0"/>
    <x v="0"/>
    <n v="96.92307692307692"/>
    <n v="44"/>
    <n v="360"/>
    <n v="1"/>
    <n v="5.863270832560441"/>
    <x v="1"/>
  </r>
  <r>
    <n v="434"/>
    <x v="23"/>
    <n v="25.68"/>
    <n v="80700"/>
    <n v="84000"/>
    <n v="0"/>
    <s v="65 to 74"/>
    <n v="275000"/>
    <n v="215000"/>
    <n v="360"/>
    <x v="0"/>
    <x v="78"/>
    <x v="0"/>
    <x v="0"/>
    <n v="78.181818181818187"/>
    <n v="44"/>
    <n v="360"/>
    <n v="0"/>
    <n v="5.279928901279404"/>
    <x v="0"/>
  </r>
  <r>
    <n v="435"/>
    <x v="4"/>
    <n v="51.5"/>
    <n v="85200"/>
    <n v="101000"/>
    <n v="0"/>
    <s v="65 to 74"/>
    <n v="135000"/>
    <n v="125000"/>
    <n v="360"/>
    <x v="1"/>
    <x v="27"/>
    <x v="0"/>
    <x v="0"/>
    <n v="92.592592592592595"/>
    <n v="33"/>
    <n v="360"/>
    <n v="0"/>
    <n v="4.6773943514448408"/>
    <x v="1"/>
  </r>
  <r>
    <n v="436"/>
    <x v="13"/>
    <n v="10.220000000000001"/>
    <n v="95600"/>
    <n v="612000"/>
    <n v="0"/>
    <s v="65 to 74"/>
    <n v="175000"/>
    <n v="75000"/>
    <n v="180"/>
    <x v="3"/>
    <x v="297"/>
    <x v="1"/>
    <x v="1"/>
    <n v="42.857142857142854"/>
    <n v="28"/>
    <n v="180"/>
    <n v="0"/>
    <n v="3.484639304569666"/>
    <x v="0"/>
  </r>
  <r>
    <n v="437"/>
    <x v="26"/>
    <n v="49.49"/>
    <n v="68100"/>
    <n v="111000"/>
    <n v="1"/>
    <s v="65 to 74"/>
    <n v="335000"/>
    <n v="315000"/>
    <n v="360"/>
    <x v="4"/>
    <x v="47"/>
    <x v="0"/>
    <x v="0"/>
    <n v="94.029850746268664"/>
    <n v="56"/>
    <n v="360"/>
    <n v="1"/>
    <n v="4.6754024267542116"/>
    <x v="1"/>
  </r>
  <r>
    <n v="438"/>
    <x v="4"/>
    <n v="15.73"/>
    <n v="71900"/>
    <n v="48000"/>
    <n v="0"/>
    <s v="65 to 74"/>
    <n v="155000"/>
    <n v="125000"/>
    <n v="360"/>
    <x v="3"/>
    <x v="270"/>
    <x v="0"/>
    <x v="0"/>
    <n v="80.645161290322577"/>
    <n v="28"/>
    <n v="360"/>
    <n v="0"/>
    <n v="4.1443267503634029"/>
    <x v="1"/>
  </r>
  <r>
    <n v="439"/>
    <x v="26"/>
    <n v="26.3"/>
    <n v="69600"/>
    <n v="62000"/>
    <n v="1"/>
    <s v="65 to 74"/>
    <n v="215000"/>
    <n v="195000"/>
    <n v="360"/>
    <x v="0"/>
    <x v="313"/>
    <x v="0"/>
    <x v="0"/>
    <n v="90.697674418604649"/>
    <n v="31"/>
    <n v="360"/>
    <n v="1"/>
    <n v="5.1404321514444193"/>
    <x v="1"/>
  </r>
  <r>
    <n v="440"/>
    <x v="18"/>
    <n v="32.25"/>
    <n v="77800"/>
    <n v="64000"/>
    <n v="1"/>
    <s v="65 to 74"/>
    <n v="295000"/>
    <n v="225000"/>
    <n v="360"/>
    <x v="2"/>
    <x v="314"/>
    <x v="0"/>
    <x v="0"/>
    <n v="76.271186440677965"/>
    <n v="34"/>
    <n v="360"/>
    <n v="1"/>
    <n v="5.0835467616427961"/>
    <x v="0"/>
  </r>
  <r>
    <n v="441"/>
    <x v="5"/>
    <n v="10.5"/>
    <n v="74400"/>
    <n v="33000"/>
    <n v="0"/>
    <s v="65 to 74"/>
    <n v="245000"/>
    <n v="105000"/>
    <n v="360"/>
    <x v="3"/>
    <x v="297"/>
    <x v="0"/>
    <x v="0"/>
    <n v="42.857142857142854"/>
    <n v="36"/>
    <n v="360"/>
    <n v="0"/>
    <n v="5.0914555028008905"/>
    <x v="0"/>
  </r>
  <r>
    <n v="442"/>
    <x v="17"/>
    <n v="13.47"/>
    <n v="82600"/>
    <n v="186000"/>
    <n v="0"/>
    <s v="65 to 74"/>
    <n v="425000"/>
    <n v="305000"/>
    <n v="360"/>
    <x v="3"/>
    <x v="315"/>
    <x v="0"/>
    <x v="0"/>
    <n v="71.764705882352942"/>
    <n v="32"/>
    <n v="360"/>
    <n v="0"/>
    <n v="4.9145706346860889"/>
    <x v="0"/>
  </r>
  <r>
    <n v="443"/>
    <x v="15"/>
    <n v="13.57"/>
    <n v="65100"/>
    <n v="61000"/>
    <n v="0"/>
    <s v="65 to 74"/>
    <n v="305000"/>
    <n v="235000"/>
    <n v="360"/>
    <x v="3"/>
    <x v="21"/>
    <x v="0"/>
    <x v="0"/>
    <n v="77.049180327868854"/>
    <n v="12"/>
    <n v="360"/>
    <n v="0"/>
    <n v="3.6589460231852993"/>
    <x v="0"/>
  </r>
  <r>
    <n v="444"/>
    <x v="27"/>
    <n v="53.19"/>
    <n v="96600"/>
    <n v="75000"/>
    <n v="0"/>
    <s v="65 to 74"/>
    <n v="265000"/>
    <n v="215000"/>
    <n v="360"/>
    <x v="1"/>
    <x v="107"/>
    <x v="0"/>
    <x v="0"/>
    <n v="81.132075471698116"/>
    <n v="51"/>
    <n v="360"/>
    <n v="0"/>
    <n v="5.0228413460719015"/>
    <x v="1"/>
  </r>
  <r>
    <n v="445"/>
    <x v="36"/>
    <n v="4.79"/>
    <n v="73100"/>
    <n v="70000"/>
    <n v="0"/>
    <s v="65 to 74"/>
    <n v="125000"/>
    <n v="85000"/>
    <n v="180"/>
    <x v="5"/>
    <x v="172"/>
    <x v="1"/>
    <x v="0"/>
    <n v="68"/>
    <n v="39"/>
    <n v="180"/>
    <n v="0"/>
    <n v="5.4529447173706345"/>
    <x v="0"/>
  </r>
  <r>
    <n v="446"/>
    <x v="26"/>
    <n v="39.6"/>
    <n v="65000"/>
    <n v="49000"/>
    <n v="0"/>
    <s v="65 to 74"/>
    <n v="235000"/>
    <n v="115000"/>
    <n v="180"/>
    <x v="2"/>
    <x v="155"/>
    <x v="1"/>
    <x v="0"/>
    <n v="48.936170212765958"/>
    <n v="42"/>
    <n v="180"/>
    <n v="0"/>
    <n v="5.1885021467663623"/>
    <x v="0"/>
  </r>
  <r>
    <n v="447"/>
    <x v="19"/>
    <n v="20.69"/>
    <n v="89100"/>
    <n v="43000"/>
    <n v="0"/>
    <s v="65 to 74"/>
    <n v="275000"/>
    <n v="145000"/>
    <n v="360"/>
    <x v="0"/>
    <x v="133"/>
    <x v="0"/>
    <x v="0"/>
    <n v="52.72727272727272"/>
    <n v="17"/>
    <n v="360"/>
    <n v="0"/>
    <n v="4.1454357363908141"/>
    <x v="0"/>
  </r>
  <r>
    <n v="448"/>
    <x v="23"/>
    <n v="26.79"/>
    <n v="66900"/>
    <n v="49000"/>
    <n v="1"/>
    <s v="65 to 74"/>
    <n v="95000"/>
    <n v="55000"/>
    <n v="360"/>
    <x v="0"/>
    <x v="257"/>
    <x v="0"/>
    <x v="0"/>
    <n v="57.894736842105267"/>
    <n v="25"/>
    <n v="360"/>
    <n v="1"/>
    <n v="3.9086244248581057"/>
    <x v="0"/>
  </r>
  <r>
    <n v="449"/>
    <x v="31"/>
    <n v="10.96"/>
    <n v="81000"/>
    <n v="89000"/>
    <n v="0"/>
    <s v="65 to 74"/>
    <n v="385000"/>
    <n v="315000"/>
    <n v="360"/>
    <x v="3"/>
    <x v="276"/>
    <x v="0"/>
    <x v="0"/>
    <n v="81.818181818181827"/>
    <n v="57"/>
    <n v="360"/>
    <n v="0"/>
    <n v="5.3416975182032385"/>
    <x v="1"/>
  </r>
  <r>
    <n v="450"/>
    <x v="8"/>
    <n v="48.45"/>
    <n v="97600"/>
    <n v="82000"/>
    <n v="0"/>
    <s v="65 to 74"/>
    <n v="345000"/>
    <n v="295000"/>
    <n v="360"/>
    <x v="4"/>
    <x v="240"/>
    <x v="0"/>
    <x v="0"/>
    <n v="85.507246376811594"/>
    <n v="26"/>
    <n v="360"/>
    <n v="0"/>
    <n v="3.7580595577452769"/>
    <x v="1"/>
  </r>
  <r>
    <n v="451"/>
    <x v="10"/>
    <n v="4.4800000000000004"/>
    <n v="63900"/>
    <n v="25000"/>
    <n v="1"/>
    <s v="65 to 74"/>
    <n v="85000"/>
    <n v="85000"/>
    <n v="360"/>
    <x v="5"/>
    <x v="181"/>
    <x v="0"/>
    <x v="0"/>
    <n v="100"/>
    <n v="39"/>
    <n v="360"/>
    <n v="1"/>
    <n v="5.3799530439974204"/>
    <x v="1"/>
  </r>
  <r>
    <n v="452"/>
    <x v="3"/>
    <n v="17.78"/>
    <n v="81600"/>
    <n v="65000"/>
    <n v="0"/>
    <s v="65 to 74"/>
    <n v="275000"/>
    <n v="215000"/>
    <n v="360"/>
    <x v="3"/>
    <x v="78"/>
    <x v="0"/>
    <x v="0"/>
    <n v="78.181818181818187"/>
    <n v="38"/>
    <n v="360"/>
    <n v="0"/>
    <n v="4.6397467211242933"/>
    <x v="0"/>
  </r>
  <r>
    <n v="453"/>
    <x v="1"/>
    <n v="29.86"/>
    <n v="83300"/>
    <n v="144000"/>
    <n v="0"/>
    <s v="65 to 74"/>
    <n v="635000"/>
    <n v="475000"/>
    <n v="360"/>
    <x v="0"/>
    <x v="64"/>
    <x v="0"/>
    <x v="0"/>
    <n v="74.803149606299215"/>
    <n v="13"/>
    <n v="360"/>
    <n v="0"/>
    <n v="3.5505102300062408"/>
    <x v="0"/>
  </r>
  <r>
    <n v="454"/>
    <x v="1"/>
    <n v="88.48"/>
    <n v="97800"/>
    <n v="78000"/>
    <n v="0"/>
    <s v="65 to 74"/>
    <n v="495000"/>
    <n v="465000"/>
    <n v="360"/>
    <x v="1"/>
    <x v="292"/>
    <x v="0"/>
    <x v="0"/>
    <n v="93.939393939393938"/>
    <n v="39"/>
    <n v="360"/>
    <n v="0"/>
    <n v="5.6727325669584516"/>
    <x v="1"/>
  </r>
  <r>
    <n v="455"/>
    <x v="4"/>
    <n v="44.38"/>
    <n v="76300"/>
    <n v="181000"/>
    <n v="0"/>
    <s v="65 to 74"/>
    <n v="35000"/>
    <n v="25000"/>
    <n v="360"/>
    <x v="4"/>
    <x v="56"/>
    <x v="0"/>
    <x v="0"/>
    <n v="71.428571428571431"/>
    <n v="37"/>
    <n v="360"/>
    <n v="0"/>
    <n v="4.5990631367035846"/>
    <x v="0"/>
  </r>
  <r>
    <n v="456"/>
    <x v="0"/>
    <n v="8.83"/>
    <n v="74900"/>
    <n v="171000"/>
    <n v="0"/>
    <s v="65 to 74"/>
    <n v="645000"/>
    <n v="515000"/>
    <n v="360"/>
    <x v="5"/>
    <x v="316"/>
    <x v="0"/>
    <x v="0"/>
    <n v="79.84496124031007"/>
    <n v="27"/>
    <n v="360"/>
    <n v="0"/>
    <n v="3.8973465810245429"/>
    <x v="0"/>
  </r>
  <r>
    <n v="457"/>
    <x v="44"/>
    <n v="2.13"/>
    <n v="77700"/>
    <n v="36000"/>
    <n v="1"/>
    <s v="65 to 74"/>
    <n v="185000"/>
    <n v="165000"/>
    <n v="360"/>
    <x v="5"/>
    <x v="234"/>
    <x v="0"/>
    <x v="0"/>
    <n v="89.189189189189193"/>
    <n v="19"/>
    <n v="360"/>
    <n v="1"/>
    <n v="5.2466221903084289"/>
    <x v="1"/>
  </r>
  <r>
    <n v="458"/>
    <x v="1"/>
    <n v="28.31"/>
    <n v="83300"/>
    <n v="174000"/>
    <n v="0"/>
    <s v="65 to 74"/>
    <n v="1445000"/>
    <n v="725000"/>
    <n v="360"/>
    <x v="0"/>
    <x v="317"/>
    <x v="0"/>
    <x v="0"/>
    <n v="50.173010380622841"/>
    <n v="32"/>
    <n v="360"/>
    <n v="0"/>
    <n v="4.9060371605545612"/>
    <x v="0"/>
  </r>
  <r>
    <n v="459"/>
    <x v="10"/>
    <n v="13.08"/>
    <n v="79700"/>
    <n v="32000"/>
    <n v="1"/>
    <s v="65 to 74"/>
    <n v="155000"/>
    <n v="135000"/>
    <n v="360"/>
    <x v="3"/>
    <x v="209"/>
    <x v="0"/>
    <x v="0"/>
    <n v="87.096774193548384"/>
    <n v="40"/>
    <n v="360"/>
    <n v="1"/>
    <n v="5.6813162869003104"/>
    <x v="1"/>
  </r>
  <r>
    <n v="460"/>
    <x v="35"/>
    <n v="5.86"/>
    <n v="79600"/>
    <n v="41000"/>
    <n v="0"/>
    <s v="65 to 74"/>
    <n v="125000"/>
    <n v="95000"/>
    <n v="360"/>
    <x v="5"/>
    <x v="268"/>
    <x v="0"/>
    <x v="0"/>
    <n v="76"/>
    <n v="23"/>
    <n v="360"/>
    <n v="0"/>
    <n v="3.8936081898039747"/>
    <x v="0"/>
  </r>
  <r>
    <n v="461"/>
    <x v="26"/>
    <n v="32.83"/>
    <n v="65900"/>
    <n v="125000"/>
    <n v="0"/>
    <s v="65 to 74"/>
    <n v="395000"/>
    <n v="315000"/>
    <n v="360"/>
    <x v="2"/>
    <x v="318"/>
    <x v="0"/>
    <x v="0"/>
    <n v="79.74683544303798"/>
    <n v="20"/>
    <n v="360"/>
    <n v="0"/>
    <n v="4.5722042835807866"/>
    <x v="0"/>
  </r>
  <r>
    <n v="462"/>
    <x v="19"/>
    <n v="27.53"/>
    <n v="89100"/>
    <n v="60000"/>
    <n v="0"/>
    <s v="65 to 74"/>
    <n v="205000"/>
    <n v="155000"/>
    <n v="360"/>
    <x v="0"/>
    <x v="310"/>
    <x v="0"/>
    <x v="0"/>
    <n v="75.609756097560975"/>
    <n v="26"/>
    <n v="360"/>
    <n v="0"/>
    <n v="4.4859350507592479"/>
    <x v="0"/>
  </r>
  <r>
    <n v="463"/>
    <x v="40"/>
    <n v="24.92"/>
    <n v="70800"/>
    <n v="49000"/>
    <n v="0"/>
    <s v="65 to 74"/>
    <n v="225000"/>
    <n v="165000"/>
    <n v="360"/>
    <x v="0"/>
    <x v="149"/>
    <x v="0"/>
    <x v="0"/>
    <n v="73.333333333333329"/>
    <n v="33"/>
    <n v="360"/>
    <n v="0"/>
    <n v="4.7257543866745824"/>
    <x v="0"/>
  </r>
  <r>
    <n v="464"/>
    <x v="26"/>
    <n v="16.02"/>
    <n v="69200"/>
    <n v="20000"/>
    <n v="0"/>
    <s v="65 to 74"/>
    <n v="125000"/>
    <n v="65000"/>
    <n v="360"/>
    <x v="3"/>
    <x v="41"/>
    <x v="0"/>
    <x v="0"/>
    <n v="52"/>
    <n v="26"/>
    <n v="360"/>
    <n v="0"/>
    <n v="4.3565072182573035"/>
    <x v="0"/>
  </r>
  <r>
    <n v="465"/>
    <x v="1"/>
    <n v="61.56"/>
    <n v="83300"/>
    <n v="100000"/>
    <n v="0"/>
    <s v="65 to 74"/>
    <n v="445000"/>
    <n v="395000"/>
    <n v="360"/>
    <x v="1"/>
    <x v="86"/>
    <x v="0"/>
    <x v="0"/>
    <n v="88.764044943820224"/>
    <n v="16"/>
    <n v="360"/>
    <n v="0"/>
    <n v="4.0897897016954561"/>
    <x v="1"/>
  </r>
  <r>
    <n v="466"/>
    <x v="8"/>
    <n v="47.77"/>
    <n v="72200"/>
    <n v="77000"/>
    <n v="0"/>
    <s v="65 to 74"/>
    <n v="335000"/>
    <n v="265000"/>
    <n v="360"/>
    <x v="4"/>
    <x v="147"/>
    <x v="0"/>
    <x v="0"/>
    <n v="79.104477611940297"/>
    <n v="46"/>
    <n v="360"/>
    <n v="0"/>
    <n v="4.7833677599010507"/>
    <x v="0"/>
  </r>
  <r>
    <n v="467"/>
    <x v="46"/>
    <n v="79.349999999999994"/>
    <n v="97500"/>
    <n v="170000"/>
    <n v="0"/>
    <s v="65 to 74"/>
    <n v="725000"/>
    <n v="595000"/>
    <n v="360"/>
    <x v="1"/>
    <x v="319"/>
    <x v="0"/>
    <x v="0"/>
    <n v="82.068965517241381"/>
    <n v="27"/>
    <n v="360"/>
    <n v="0"/>
    <n v="4.6127785408615569"/>
    <x v="1"/>
  </r>
  <r>
    <n v="468"/>
    <x v="31"/>
    <n v="6.66"/>
    <n v="65700"/>
    <n v="317000"/>
    <n v="0"/>
    <s v="65 to 74"/>
    <n v="665000"/>
    <n v="495000"/>
    <n v="360"/>
    <x v="5"/>
    <x v="23"/>
    <x v="0"/>
    <x v="1"/>
    <n v="74.436090225563916"/>
    <n v="34"/>
    <n v="360"/>
    <n v="0"/>
    <n v="3.7877283500753198"/>
    <x v="0"/>
  </r>
  <r>
    <n v="469"/>
    <x v="10"/>
    <n v="16.53"/>
    <n v="79700"/>
    <n v="103000"/>
    <n v="0"/>
    <s v="65 to 74"/>
    <n v="335000"/>
    <n v="165000"/>
    <n v="360"/>
    <x v="3"/>
    <x v="320"/>
    <x v="0"/>
    <x v="0"/>
    <n v="49.253731343283583"/>
    <n v="40"/>
    <n v="360"/>
    <n v="0"/>
    <n v="5.5157781503749517"/>
    <x v="0"/>
  </r>
  <r>
    <n v="470"/>
    <x v="18"/>
    <n v="31.37"/>
    <n v="77800"/>
    <n v="54000"/>
    <n v="1"/>
    <s v="65 to 74"/>
    <n v="235000"/>
    <n v="225000"/>
    <n v="360"/>
    <x v="2"/>
    <x v="236"/>
    <x v="0"/>
    <x v="0"/>
    <n v="95.744680851063833"/>
    <n v="16"/>
    <n v="360"/>
    <n v="1"/>
    <n v="5.699654659331439"/>
    <x v="1"/>
  </r>
  <r>
    <n v="471"/>
    <x v="1"/>
    <n v="58.33"/>
    <n v="83300"/>
    <n v="95000"/>
    <n v="0"/>
    <s v="65 to 74"/>
    <n v="365000"/>
    <n v="275000"/>
    <n v="360"/>
    <x v="1"/>
    <x v="271"/>
    <x v="0"/>
    <x v="0"/>
    <n v="75.342465753424662"/>
    <n v="35"/>
    <n v="360"/>
    <n v="0"/>
    <n v="4.6080956000538036"/>
    <x v="0"/>
  </r>
  <r>
    <n v="472"/>
    <x v="20"/>
    <n v="11.49"/>
    <n v="91800"/>
    <n v="53000"/>
    <n v="1"/>
    <s v="65 to 74"/>
    <n v="245000"/>
    <n v="205000"/>
    <n v="360"/>
    <x v="3"/>
    <x v="321"/>
    <x v="0"/>
    <x v="0"/>
    <n v="83.673469387755105"/>
    <n v="32"/>
    <n v="360"/>
    <n v="1"/>
    <n v="5.901196546280314"/>
    <x v="1"/>
  </r>
  <r>
    <n v="473"/>
    <x v="18"/>
    <n v="35.979999999999997"/>
    <n v="77800"/>
    <n v="100000"/>
    <n v="0"/>
    <s v="65 to 74"/>
    <n v="245000"/>
    <n v="185000"/>
    <n v="360"/>
    <x v="2"/>
    <x v="322"/>
    <x v="0"/>
    <x v="0"/>
    <n v="75.510204081632651"/>
    <n v="26"/>
    <n v="360"/>
    <n v="0"/>
    <n v="5.0588799642623137"/>
    <x v="0"/>
  </r>
  <r>
    <n v="474"/>
    <x v="9"/>
    <n v="30.74"/>
    <n v="114000"/>
    <n v="118000"/>
    <n v="0"/>
    <s v="65 to 74"/>
    <n v="1105000"/>
    <n v="155000"/>
    <n v="240"/>
    <x v="2"/>
    <x v="323"/>
    <x v="0"/>
    <x v="0"/>
    <n v="14.027149321266968"/>
    <n v="31"/>
    <n v="240"/>
    <n v="0"/>
    <n v="4.1766495025088037"/>
    <x v="0"/>
  </r>
  <r>
    <n v="475"/>
    <x v="29"/>
    <n v="7.17"/>
    <n v="88800"/>
    <n v="83000"/>
    <n v="0"/>
    <s v="65 to 74"/>
    <n v="235000"/>
    <n v="175000"/>
    <n v="180"/>
    <x v="5"/>
    <x v="57"/>
    <x v="1"/>
    <x v="0"/>
    <n v="74.468085106382972"/>
    <n v="37"/>
    <n v="180"/>
    <n v="0"/>
    <n v="5.0362097197483049"/>
    <x v="0"/>
  </r>
  <r>
    <n v="476"/>
    <x v="7"/>
    <n v="11.03"/>
    <n v="96500"/>
    <n v="78000"/>
    <n v="0"/>
    <s v="65 to 74"/>
    <n v="655000"/>
    <n v="365000"/>
    <n v="360"/>
    <x v="3"/>
    <x v="324"/>
    <x v="0"/>
    <x v="0"/>
    <n v="55.725190839694662"/>
    <n v="57"/>
    <n v="360"/>
    <n v="0"/>
    <n v="5.6314968107119672"/>
    <x v="0"/>
  </r>
  <r>
    <n v="477"/>
    <x v="1"/>
    <n v="15.81"/>
    <n v="97300"/>
    <n v="196000"/>
    <n v="0"/>
    <s v="65 to 74"/>
    <n v="745000"/>
    <n v="315000"/>
    <n v="360"/>
    <x v="3"/>
    <x v="325"/>
    <x v="0"/>
    <x v="0"/>
    <n v="42.281879194630875"/>
    <n v="5"/>
    <n v="360"/>
    <n v="0"/>
    <n v="4.0452685840992899"/>
    <x v="0"/>
  </r>
  <r>
    <n v="478"/>
    <x v="1"/>
    <n v="10.53"/>
    <n v="102700"/>
    <n v="105000"/>
    <n v="0"/>
    <s v="65 to 74"/>
    <n v="805000"/>
    <n v="555000"/>
    <n v="360"/>
    <x v="3"/>
    <x v="326"/>
    <x v="0"/>
    <x v="0"/>
    <n v="68.944099378881987"/>
    <n v="27"/>
    <n v="360"/>
    <n v="0"/>
    <n v="4.8567099945810979"/>
    <x v="0"/>
  </r>
  <r>
    <n v="479"/>
    <x v="1"/>
    <n v="94.85"/>
    <n v="83300"/>
    <n v="120000"/>
    <n v="0"/>
    <s v="65 to 74"/>
    <n v="1265000"/>
    <n v="665000"/>
    <n v="360"/>
    <x v="1"/>
    <x v="327"/>
    <x v="0"/>
    <x v="0"/>
    <n v="52.569169960474305"/>
    <n v="45"/>
    <n v="360"/>
    <n v="0"/>
    <n v="5.4006117154633984"/>
    <x v="0"/>
  </r>
  <r>
    <n v="480"/>
    <x v="8"/>
    <n v="55.38"/>
    <n v="80000"/>
    <n v="38000"/>
    <n v="1"/>
    <s v="65 to 74"/>
    <n v="135000"/>
    <n v="115000"/>
    <n v="360"/>
    <x v="1"/>
    <x v="262"/>
    <x v="0"/>
    <x v="0"/>
    <n v="85.18518518518519"/>
    <n v="19"/>
    <n v="360"/>
    <n v="1"/>
    <n v="4.3621554736279293"/>
    <x v="1"/>
  </r>
  <r>
    <n v="481"/>
    <x v="6"/>
    <n v="23.51"/>
    <n v="100000"/>
    <n v="84000"/>
    <n v="0"/>
    <s v="65 to 74"/>
    <n v="605000"/>
    <n v="425000"/>
    <n v="360"/>
    <x v="0"/>
    <x v="328"/>
    <x v="0"/>
    <x v="0"/>
    <n v="70.247933884297524"/>
    <n v="25"/>
    <n v="360"/>
    <n v="0"/>
    <n v="4.8226717005847206"/>
    <x v="0"/>
  </r>
  <r>
    <n v="482"/>
    <x v="10"/>
    <n v="16.59"/>
    <n v="79700"/>
    <n v="108000"/>
    <n v="0"/>
    <s v="&gt; 74"/>
    <n v="185000"/>
    <n v="125000"/>
    <n v="180"/>
    <x v="3"/>
    <x v="177"/>
    <x v="1"/>
    <x v="0"/>
    <n v="67.567567567567565"/>
    <n v="28"/>
    <n v="180"/>
    <n v="0"/>
    <n v="5.0283159956434877"/>
    <x v="0"/>
  </r>
  <r>
    <n v="483"/>
    <x v="13"/>
    <n v="16.829999999999998"/>
    <n v="102800"/>
    <n v="82000"/>
    <n v="0"/>
    <s v="&gt; 74"/>
    <n v="465000"/>
    <n v="215000"/>
    <n v="180"/>
    <x v="3"/>
    <x v="329"/>
    <x v="1"/>
    <x v="0"/>
    <n v="46.236559139784944"/>
    <n v="38"/>
    <n v="180"/>
    <n v="0"/>
    <n v="4.8510521669509696"/>
    <x v="0"/>
  </r>
  <r>
    <n v="484"/>
    <x v="27"/>
    <n v="6.82"/>
    <n v="82300"/>
    <n v="160000"/>
    <n v="0"/>
    <s v="&gt; 74"/>
    <n v="475000"/>
    <n v="325000"/>
    <n v="360"/>
    <x v="5"/>
    <x v="84"/>
    <x v="0"/>
    <x v="0"/>
    <n v="68.421052631578945"/>
    <n v="28"/>
    <n v="360"/>
    <n v="0"/>
    <n v="4.0204332635246871"/>
    <x v="0"/>
  </r>
  <r>
    <n v="485"/>
    <x v="1"/>
    <n v="83.46"/>
    <n v="83300"/>
    <n v="47000"/>
    <n v="0"/>
    <s v="&gt; 74"/>
    <n v="715000"/>
    <n v="265000"/>
    <n v="360"/>
    <x v="1"/>
    <x v="330"/>
    <x v="0"/>
    <x v="0"/>
    <n v="37.06293706293706"/>
    <n v="33"/>
    <n v="360"/>
    <n v="0"/>
    <n v="4.7429860853930013"/>
    <x v="0"/>
  </r>
  <r>
    <n v="486"/>
    <x v="1"/>
    <n v="22.09"/>
    <n v="66100"/>
    <n v="64000"/>
    <n v="0"/>
    <s v="&gt; 74"/>
    <n v="335000"/>
    <n v="265000"/>
    <n v="360"/>
    <x v="0"/>
    <x v="147"/>
    <x v="0"/>
    <x v="0"/>
    <n v="79.104477611940297"/>
    <n v="35"/>
    <n v="360"/>
    <n v="0"/>
    <n v="4.0847509149643759"/>
    <x v="0"/>
  </r>
  <r>
    <n v="487"/>
    <x v="37"/>
    <n v="31.96"/>
    <n v="54400"/>
    <n v="62000"/>
    <n v="0"/>
    <s v="&gt; 74"/>
    <n v="355000"/>
    <n v="285000"/>
    <n v="360"/>
    <x v="2"/>
    <x v="331"/>
    <x v="0"/>
    <x v="0"/>
    <n v="80.281690140845072"/>
    <n v="14"/>
    <n v="360"/>
    <n v="0"/>
    <n v="5.050491715197472"/>
    <x v="1"/>
  </r>
  <r>
    <n v="488"/>
    <x v="3"/>
    <n v="27.59"/>
    <n v="89400"/>
    <n v="90000"/>
    <n v="0"/>
    <s v="&gt; 74"/>
    <n v="225000"/>
    <n v="165000"/>
    <n v="360"/>
    <x v="0"/>
    <x v="149"/>
    <x v="0"/>
    <x v="0"/>
    <n v="73.333333333333329"/>
    <n v="2"/>
    <n v="360"/>
    <n v="0"/>
    <n v="3.9014192232399307"/>
    <x v="0"/>
  </r>
  <r>
    <n v="489"/>
    <x v="0"/>
    <n v="8.57"/>
    <n v="106900"/>
    <n v="142000"/>
    <n v="0"/>
    <s v="&gt; 74"/>
    <n v="605000"/>
    <n v="365000"/>
    <n v="360"/>
    <x v="5"/>
    <x v="332"/>
    <x v="0"/>
    <x v="0"/>
    <n v="60.330578512396691"/>
    <n v="2"/>
    <n v="360"/>
    <n v="0"/>
    <n v="3.7498256596935065"/>
    <x v="0"/>
  </r>
  <r>
    <n v="490"/>
    <x v="10"/>
    <n v="40.65"/>
    <n v="101500"/>
    <n v="75000"/>
    <n v="0"/>
    <s v="&gt; 74"/>
    <n v="265000"/>
    <n v="245000"/>
    <n v="360"/>
    <x v="4"/>
    <x v="201"/>
    <x v="0"/>
    <x v="0"/>
    <n v="92.452830188679243"/>
    <n v="3"/>
    <n v="360"/>
    <n v="0"/>
    <n v="3.938101633633055"/>
    <x v="1"/>
  </r>
  <r>
    <n v="491"/>
    <x v="1"/>
    <n v="17.59"/>
    <n v="92700"/>
    <n v="97000"/>
    <n v="0"/>
    <s v="&gt; 74"/>
    <n v="765000"/>
    <n v="605000"/>
    <n v="360"/>
    <x v="3"/>
    <x v="333"/>
    <x v="0"/>
    <x v="0"/>
    <n v="79.084967320261441"/>
    <n v="3"/>
    <n v="360"/>
    <n v="0"/>
    <n v="4.9592539205400961"/>
    <x v="0"/>
  </r>
  <r>
    <n v="492"/>
    <x v="28"/>
    <n v="25.24"/>
    <n v="94100"/>
    <n v="95000"/>
    <n v="1"/>
    <s v="&gt; 74"/>
    <n v="405000"/>
    <n v="345000"/>
    <n v="360"/>
    <x v="0"/>
    <x v="262"/>
    <x v="0"/>
    <x v="0"/>
    <n v="85.18518518518519"/>
    <n v="3"/>
    <n v="360"/>
    <n v="1"/>
    <n v="4.0337143459857243"/>
    <x v="1"/>
  </r>
  <r>
    <n v="493"/>
    <x v="1"/>
    <n v="44.8"/>
    <n v="102700"/>
    <n v="70000"/>
    <n v="0"/>
    <s v="&gt; 74"/>
    <n v="655000"/>
    <n v="145000"/>
    <n v="120"/>
    <x v="4"/>
    <x v="334"/>
    <x v="1"/>
    <x v="0"/>
    <n v="22.137404580152673"/>
    <n v="57"/>
    <n v="120"/>
    <n v="0"/>
    <n v="5.1849386294749316"/>
    <x v="0"/>
  </r>
  <r>
    <n v="494"/>
    <x v="18"/>
    <n v="17.66"/>
    <n v="77800"/>
    <n v="104000"/>
    <n v="0"/>
    <s v="&gt; 74"/>
    <n v="475000"/>
    <n v="205000"/>
    <n v="180"/>
    <x v="3"/>
    <x v="335"/>
    <x v="1"/>
    <x v="0"/>
    <n v="43.15789473684211"/>
    <n v="4"/>
    <n v="180"/>
    <n v="0"/>
    <n v="3.9799437311209429"/>
    <x v="0"/>
  </r>
  <r>
    <n v="495"/>
    <x v="6"/>
    <n v="21.49"/>
    <n v="100000"/>
    <n v="172000"/>
    <n v="0"/>
    <s v="&gt; 74"/>
    <n v="535000"/>
    <n v="375000"/>
    <n v="360"/>
    <x v="0"/>
    <x v="336"/>
    <x v="0"/>
    <x v="0"/>
    <n v="70.09345794392523"/>
    <n v="3"/>
    <n v="360"/>
    <n v="0"/>
    <n v="4.8881900009151051"/>
    <x v="0"/>
  </r>
  <r>
    <n v="496"/>
    <x v="28"/>
    <n v="40.28"/>
    <n v="80100"/>
    <n v="275000"/>
    <n v="0"/>
    <s v="&gt; 74"/>
    <n v="755000"/>
    <n v="505000"/>
    <n v="360"/>
    <x v="4"/>
    <x v="19"/>
    <x v="0"/>
    <x v="1"/>
    <n v="66.88741721854305"/>
    <n v="4"/>
    <n v="360"/>
    <n v="0"/>
    <n v="4.0463461616887564"/>
    <x v="0"/>
  </r>
  <r>
    <n v="497"/>
    <x v="6"/>
    <n v="14.48"/>
    <n v="100000"/>
    <n v="79000"/>
    <n v="0"/>
    <s v="&gt; 74"/>
    <n v="425000"/>
    <n v="315000"/>
    <n v="360"/>
    <x v="3"/>
    <x v="337"/>
    <x v="0"/>
    <x v="0"/>
    <n v="74.117647058823536"/>
    <n v="35"/>
    <n v="360"/>
    <n v="0"/>
    <n v="4.3341557965316921"/>
    <x v="0"/>
  </r>
  <r>
    <n v="498"/>
    <x v="19"/>
    <n v="10.96"/>
    <n v="69300"/>
    <n v="187000"/>
    <n v="0"/>
    <s v="&gt; 74"/>
    <n v="325000"/>
    <n v="145000"/>
    <n v="180"/>
    <x v="3"/>
    <x v="338"/>
    <x v="1"/>
    <x v="0"/>
    <n v="44.61538461538462"/>
    <n v="39"/>
    <n v="180"/>
    <n v="0"/>
    <n v="4.8127703494082237"/>
    <x v="0"/>
  </r>
  <r>
    <n v="499"/>
    <x v="10"/>
    <n v="33.82"/>
    <n v="79700"/>
    <n v="109000"/>
    <n v="0"/>
    <s v="&gt; 74"/>
    <n v="525000"/>
    <n v="385000"/>
    <n v="360"/>
    <x v="2"/>
    <x v="149"/>
    <x v="0"/>
    <x v="0"/>
    <n v="73.333333333333329"/>
    <n v="40"/>
    <n v="360"/>
    <n v="0"/>
    <n v="5.7398283216251444"/>
    <x v="0"/>
  </r>
  <r>
    <n v="500"/>
    <x v="2"/>
    <n v="22.55"/>
    <n v="96600"/>
    <n v="60000"/>
    <n v="1"/>
    <s v="&gt; 74"/>
    <n v="375000"/>
    <n v="305000"/>
    <n v="360"/>
    <x v="0"/>
    <x v="83"/>
    <x v="0"/>
    <x v="0"/>
    <n v="81.333333333333329"/>
    <n v="28"/>
    <n v="360"/>
    <n v="1"/>
    <n v="4.788253821946073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25D085-608F-4D45-A310-4FA339ACA54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ilver pool">
  <location ref="E3:F6" firstHeaderRow="1" firstDataRow="1" firstDataCol="1"/>
  <pivotFields count="20">
    <pivotField dataField="1" showAll="0"/>
    <pivotField showAll="0">
      <items count="48">
        <item x="31"/>
        <item x="45"/>
        <item x="18"/>
        <item x="14"/>
        <item x="1"/>
        <item x="6"/>
        <item x="20"/>
        <item x="42"/>
        <item x="26"/>
        <item x="11"/>
        <item x="46"/>
        <item x="41"/>
        <item x="19"/>
        <item x="35"/>
        <item x="32"/>
        <item x="29"/>
        <item x="34"/>
        <item x="37"/>
        <item x="44"/>
        <item x="5"/>
        <item x="9"/>
        <item x="10"/>
        <item x="13"/>
        <item x="43"/>
        <item x="17"/>
        <item x="25"/>
        <item x="21"/>
        <item x="40"/>
        <item x="2"/>
        <item x="38"/>
        <item x="7"/>
        <item x="28"/>
        <item x="39"/>
        <item x="4"/>
        <item x="33"/>
        <item x="15"/>
        <item x="27"/>
        <item x="16"/>
        <item x="24"/>
        <item x="36"/>
        <item x="23"/>
        <item x="8"/>
        <item x="12"/>
        <item x="30"/>
        <item x="3"/>
        <item x="0"/>
        <item x="22"/>
        <item t="default"/>
      </items>
    </pivotField>
    <pivotField showAll="0"/>
    <pivotField showAll="0"/>
    <pivotField showAll="0"/>
    <pivotField showAll="0"/>
    <pivotField showAll="0"/>
    <pivotField showAll="0"/>
    <pivotField showAll="0"/>
    <pivotField showAll="0"/>
    <pivotField showAll="0">
      <items count="7">
        <item x="5"/>
        <item x="3"/>
        <item x="0"/>
        <item x="2"/>
        <item x="4"/>
        <item x="1"/>
        <item t="default"/>
      </items>
    </pivotField>
    <pivotField numFmtId="2" showAll="0">
      <items count="340">
        <item x="243"/>
        <item x="210"/>
        <item x="323"/>
        <item x="129"/>
        <item x="26"/>
        <item x="334"/>
        <item x="202"/>
        <item x="89"/>
        <item x="2"/>
        <item x="192"/>
        <item x="110"/>
        <item x="140"/>
        <item x="308"/>
        <item x="259"/>
        <item x="281"/>
        <item x="211"/>
        <item x="93"/>
        <item x="103"/>
        <item x="156"/>
        <item x="252"/>
        <item x="216"/>
        <item x="330"/>
        <item x="188"/>
        <item x="256"/>
        <item x="247"/>
        <item x="119"/>
        <item x="193"/>
        <item x="77"/>
        <item x="8"/>
        <item x="144"/>
        <item x="325"/>
        <item x="166"/>
        <item x="297"/>
        <item x="335"/>
        <item x="170"/>
        <item x="286"/>
        <item x="309"/>
        <item x="289"/>
        <item x="338"/>
        <item x="94"/>
        <item x="15"/>
        <item x="123"/>
        <item x="214"/>
        <item x="329"/>
        <item x="137"/>
        <item x="299"/>
        <item x="250"/>
        <item x="160"/>
        <item x="267"/>
        <item x="239"/>
        <item x="228"/>
        <item x="307"/>
        <item x="278"/>
        <item x="238"/>
        <item x="155"/>
        <item x="320"/>
        <item x="55"/>
        <item x="241"/>
        <item x="131"/>
        <item x="317"/>
        <item x="0"/>
        <item x="81"/>
        <item x="249"/>
        <item x="75"/>
        <item x="12"/>
        <item x="186"/>
        <item x="191"/>
        <item x="220"/>
        <item x="128"/>
        <item x="304"/>
        <item x="3"/>
        <item x="41"/>
        <item x="76"/>
        <item x="182"/>
        <item x="327"/>
        <item x="133"/>
        <item x="279"/>
        <item x="163"/>
        <item x="54"/>
        <item x="85"/>
        <item x="203"/>
        <item x="157"/>
        <item x="124"/>
        <item x="161"/>
        <item x="274"/>
        <item x="51"/>
        <item x="126"/>
        <item x="275"/>
        <item x="324"/>
        <item x="117"/>
        <item x="167"/>
        <item x="263"/>
        <item x="39"/>
        <item x="251"/>
        <item x="153"/>
        <item x="17"/>
        <item x="141"/>
        <item x="69"/>
        <item x="46"/>
        <item x="145"/>
        <item x="261"/>
        <item x="257"/>
        <item x="189"/>
        <item x="142"/>
        <item x="7"/>
        <item x="127"/>
        <item x="70"/>
        <item x="284"/>
        <item x="227"/>
        <item x="301"/>
        <item x="277"/>
        <item x="332"/>
        <item x="254"/>
        <item x="33"/>
        <item x="59"/>
        <item x="136"/>
        <item x="223"/>
        <item x="302"/>
        <item x="92"/>
        <item x="295"/>
        <item x="135"/>
        <item x="190"/>
        <item x="288"/>
        <item x="82"/>
        <item x="207"/>
        <item x="176"/>
        <item x="303"/>
        <item x="66"/>
        <item x="101"/>
        <item x="282"/>
        <item x="67"/>
        <item x="106"/>
        <item x="60"/>
        <item x="273"/>
        <item x="139"/>
        <item x="73"/>
        <item x="187"/>
        <item x="174"/>
        <item x="244"/>
        <item x="222"/>
        <item x="200"/>
        <item x="44"/>
        <item x="9"/>
        <item x="16"/>
        <item x="152"/>
        <item x="19"/>
        <item x="180"/>
        <item x="88"/>
        <item x="154"/>
        <item x="177"/>
        <item x="125"/>
        <item x="172"/>
        <item x="198"/>
        <item x="84"/>
        <item x="272"/>
        <item x="280"/>
        <item x="109"/>
        <item x="74"/>
        <item x="326"/>
        <item x="230"/>
        <item x="150"/>
        <item x="168"/>
        <item x="185"/>
        <item x="291"/>
        <item x="158"/>
        <item x="204"/>
        <item x="283"/>
        <item x="178"/>
        <item x="336"/>
        <item x="87"/>
        <item x="132"/>
        <item x="328"/>
        <item x="38"/>
        <item x="28"/>
        <item x="121"/>
        <item x="138"/>
        <item x="68"/>
        <item x="105"/>
        <item x="63"/>
        <item x="98"/>
        <item x="5"/>
        <item x="56"/>
        <item x="315"/>
        <item x="208"/>
        <item x="290"/>
        <item x="29"/>
        <item x="20"/>
        <item x="72"/>
        <item x="95"/>
        <item x="114"/>
        <item x="50"/>
        <item x="300"/>
        <item x="287"/>
        <item x="130"/>
        <item x="175"/>
        <item x="116"/>
        <item x="58"/>
        <item x="245"/>
        <item x="149"/>
        <item x="183"/>
        <item x="171"/>
        <item x="232"/>
        <item x="43"/>
        <item x="337"/>
        <item x="165"/>
        <item x="90"/>
        <item x="306"/>
        <item x="42"/>
        <item x="23"/>
        <item x="57"/>
        <item x="212"/>
        <item x="151"/>
        <item x="62"/>
        <item x="217"/>
        <item x="64"/>
        <item x="269"/>
        <item x="271"/>
        <item x="159"/>
        <item x="322"/>
        <item x="310"/>
        <item x="268"/>
        <item x="258"/>
        <item x="13"/>
        <item x="314"/>
        <item x="285"/>
        <item x="296"/>
        <item x="169"/>
        <item x="21"/>
        <item x="231"/>
        <item x="305"/>
        <item x="10"/>
        <item x="108"/>
        <item x="237"/>
        <item x="36"/>
        <item x="80"/>
        <item x="102"/>
        <item x="65"/>
        <item x="78"/>
        <item x="311"/>
        <item x="235"/>
        <item x="24"/>
        <item x="164"/>
        <item x="11"/>
        <item x="97"/>
        <item x="22"/>
        <item x="115"/>
        <item x="96"/>
        <item x="333"/>
        <item x="147"/>
        <item x="34"/>
        <item x="260"/>
        <item x="294"/>
        <item x="120"/>
        <item x="205"/>
        <item x="35"/>
        <item x="265"/>
        <item x="25"/>
        <item x="143"/>
        <item x="318"/>
        <item x="118"/>
        <item x="18"/>
        <item x="316"/>
        <item x="14"/>
        <item x="215"/>
        <item x="266"/>
        <item x="52"/>
        <item x="4"/>
        <item x="331"/>
        <item x="32"/>
        <item x="45"/>
        <item x="255"/>
        <item x="112"/>
        <item x="270"/>
        <item x="104"/>
        <item x="107"/>
        <item x="83"/>
        <item x="276"/>
        <item x="319"/>
        <item x="100"/>
        <item x="99"/>
        <item x="40"/>
        <item x="179"/>
        <item x="233"/>
        <item x="293"/>
        <item x="6"/>
        <item x="321"/>
        <item x="197"/>
        <item x="71"/>
        <item x="195"/>
        <item x="219"/>
        <item x="262"/>
        <item x="242"/>
        <item x="79"/>
        <item x="240"/>
        <item x="49"/>
        <item x="199"/>
        <item x="61"/>
        <item x="226"/>
        <item x="53"/>
        <item x="209"/>
        <item x="221"/>
        <item x="248"/>
        <item x="122"/>
        <item x="224"/>
        <item x="298"/>
        <item x="86"/>
        <item x="234"/>
        <item x="37"/>
        <item x="213"/>
        <item x="246"/>
        <item x="113"/>
        <item x="30"/>
        <item x="313"/>
        <item x="206"/>
        <item x="194"/>
        <item x="264"/>
        <item x="48"/>
        <item x="31"/>
        <item x="111"/>
        <item x="201"/>
        <item x="27"/>
        <item x="229"/>
        <item x="162"/>
        <item x="225"/>
        <item x="292"/>
        <item x="47"/>
        <item x="173"/>
        <item x="184"/>
        <item x="218"/>
        <item x="253"/>
        <item x="1"/>
        <item x="148"/>
        <item x="134"/>
        <item x="196"/>
        <item x="146"/>
        <item x="236"/>
        <item x="91"/>
        <item x="312"/>
        <item x="181"/>
        <item t="default"/>
      </items>
    </pivotField>
    <pivotField axis="axisRow"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Borrower ID Number" fld="0" subtotal="count" baseField="12"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0A7AFC-25DE-465A-ACEB-1C6C70D2D6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B34" firstHeaderRow="1" firstDataRow="1" firstDataCol="1"/>
  <pivotFields count="20">
    <pivotField dataField="1" showAll="0"/>
    <pivotField axis="axisRow" showAll="0">
      <items count="48">
        <item x="31"/>
        <item x="45"/>
        <item x="18"/>
        <item x="14"/>
        <item x="1"/>
        <item x="6"/>
        <item x="20"/>
        <item x="42"/>
        <item x="26"/>
        <item x="11"/>
        <item x="46"/>
        <item x="41"/>
        <item x="19"/>
        <item x="35"/>
        <item x="32"/>
        <item x="29"/>
        <item x="34"/>
        <item x="37"/>
        <item x="44"/>
        <item x="5"/>
        <item x="9"/>
        <item x="10"/>
        <item x="13"/>
        <item x="43"/>
        <item x="17"/>
        <item x="25"/>
        <item x="21"/>
        <item x="40"/>
        <item x="2"/>
        <item x="38"/>
        <item x="7"/>
        <item x="28"/>
        <item x="39"/>
        <item x="4"/>
        <item x="33"/>
        <item x="15"/>
        <item x="27"/>
        <item x="16"/>
        <item x="24"/>
        <item x="36"/>
        <item x="23"/>
        <item x="8"/>
        <item x="12"/>
        <item x="30"/>
        <item x="3"/>
        <item x="0"/>
        <item x="22"/>
        <item t="default"/>
      </items>
    </pivotField>
    <pivotField showAll="0"/>
    <pivotField showAll="0"/>
    <pivotField showAll="0"/>
    <pivotField showAll="0"/>
    <pivotField showAll="0"/>
    <pivotField showAll="0"/>
    <pivotField showAll="0"/>
    <pivotField showAll="0"/>
    <pivotField axis="axisRow" showAll="0" sortType="ascending">
      <items count="7">
        <item h="1" x="5"/>
        <item h="1" x="3"/>
        <item h="1" x="0"/>
        <item h="1" x="2"/>
        <item h="1" x="4"/>
        <item x="1"/>
        <item t="default"/>
      </items>
    </pivotField>
    <pivotField numFmtId="2" showAll="0">
      <items count="340">
        <item x="243"/>
        <item x="210"/>
        <item x="323"/>
        <item x="129"/>
        <item x="26"/>
        <item x="334"/>
        <item x="202"/>
        <item x="89"/>
        <item x="2"/>
        <item x="192"/>
        <item x="110"/>
        <item x="140"/>
        <item x="308"/>
        <item x="259"/>
        <item x="281"/>
        <item x="211"/>
        <item x="93"/>
        <item x="103"/>
        <item x="156"/>
        <item x="252"/>
        <item x="216"/>
        <item x="330"/>
        <item x="188"/>
        <item x="256"/>
        <item x="247"/>
        <item x="119"/>
        <item x="193"/>
        <item x="77"/>
        <item x="8"/>
        <item x="144"/>
        <item x="325"/>
        <item x="166"/>
        <item x="297"/>
        <item x="335"/>
        <item x="170"/>
        <item x="286"/>
        <item x="309"/>
        <item x="289"/>
        <item x="338"/>
        <item x="94"/>
        <item x="15"/>
        <item x="123"/>
        <item x="214"/>
        <item x="329"/>
        <item x="137"/>
        <item x="299"/>
        <item x="250"/>
        <item x="160"/>
        <item x="267"/>
        <item x="239"/>
        <item x="228"/>
        <item x="307"/>
        <item x="278"/>
        <item x="238"/>
        <item x="155"/>
        <item x="320"/>
        <item x="55"/>
        <item x="241"/>
        <item x="131"/>
        <item x="317"/>
        <item x="0"/>
        <item x="81"/>
        <item x="249"/>
        <item x="75"/>
        <item x="12"/>
        <item x="186"/>
        <item x="191"/>
        <item x="220"/>
        <item x="128"/>
        <item x="304"/>
        <item x="3"/>
        <item x="41"/>
        <item x="76"/>
        <item x="182"/>
        <item x="327"/>
        <item x="133"/>
        <item x="279"/>
        <item x="163"/>
        <item x="54"/>
        <item x="85"/>
        <item x="203"/>
        <item x="157"/>
        <item x="124"/>
        <item x="161"/>
        <item x="274"/>
        <item x="51"/>
        <item x="126"/>
        <item x="275"/>
        <item x="324"/>
        <item x="117"/>
        <item x="167"/>
        <item x="263"/>
        <item x="39"/>
        <item x="251"/>
        <item x="153"/>
        <item x="17"/>
        <item x="141"/>
        <item x="69"/>
        <item x="46"/>
        <item x="145"/>
        <item x="261"/>
        <item x="257"/>
        <item x="189"/>
        <item x="142"/>
        <item x="7"/>
        <item x="127"/>
        <item x="70"/>
        <item x="284"/>
        <item x="227"/>
        <item x="301"/>
        <item x="277"/>
        <item x="332"/>
        <item x="254"/>
        <item x="33"/>
        <item x="59"/>
        <item x="136"/>
        <item x="223"/>
        <item x="302"/>
        <item x="92"/>
        <item x="295"/>
        <item x="135"/>
        <item x="190"/>
        <item x="288"/>
        <item x="82"/>
        <item x="207"/>
        <item x="176"/>
        <item x="303"/>
        <item x="66"/>
        <item x="101"/>
        <item x="282"/>
        <item x="67"/>
        <item x="106"/>
        <item x="60"/>
        <item x="273"/>
        <item x="139"/>
        <item x="73"/>
        <item x="187"/>
        <item x="174"/>
        <item x="244"/>
        <item x="222"/>
        <item x="200"/>
        <item x="44"/>
        <item x="9"/>
        <item x="16"/>
        <item x="152"/>
        <item x="19"/>
        <item x="180"/>
        <item x="88"/>
        <item x="154"/>
        <item x="177"/>
        <item x="125"/>
        <item x="172"/>
        <item x="198"/>
        <item x="84"/>
        <item x="272"/>
        <item x="280"/>
        <item x="109"/>
        <item x="74"/>
        <item x="326"/>
        <item x="230"/>
        <item x="150"/>
        <item x="168"/>
        <item x="185"/>
        <item x="291"/>
        <item x="158"/>
        <item x="204"/>
        <item x="283"/>
        <item x="178"/>
        <item x="336"/>
        <item x="87"/>
        <item x="132"/>
        <item x="328"/>
        <item x="38"/>
        <item x="28"/>
        <item x="121"/>
        <item x="138"/>
        <item x="68"/>
        <item x="105"/>
        <item x="63"/>
        <item x="98"/>
        <item x="5"/>
        <item x="56"/>
        <item x="315"/>
        <item x="208"/>
        <item x="290"/>
        <item x="29"/>
        <item x="20"/>
        <item x="72"/>
        <item x="95"/>
        <item x="114"/>
        <item x="50"/>
        <item x="300"/>
        <item x="287"/>
        <item x="130"/>
        <item x="175"/>
        <item x="116"/>
        <item x="58"/>
        <item x="245"/>
        <item x="149"/>
        <item x="183"/>
        <item x="171"/>
        <item x="232"/>
        <item x="43"/>
        <item x="337"/>
        <item x="165"/>
        <item x="90"/>
        <item x="306"/>
        <item x="42"/>
        <item x="23"/>
        <item x="57"/>
        <item x="212"/>
        <item x="151"/>
        <item x="62"/>
        <item x="217"/>
        <item x="64"/>
        <item x="269"/>
        <item x="271"/>
        <item x="159"/>
        <item x="322"/>
        <item x="310"/>
        <item x="268"/>
        <item x="258"/>
        <item x="13"/>
        <item x="314"/>
        <item x="285"/>
        <item x="296"/>
        <item x="169"/>
        <item x="21"/>
        <item x="231"/>
        <item x="305"/>
        <item x="10"/>
        <item x="108"/>
        <item x="237"/>
        <item x="36"/>
        <item x="80"/>
        <item x="102"/>
        <item x="65"/>
        <item x="78"/>
        <item x="311"/>
        <item x="235"/>
        <item x="24"/>
        <item x="164"/>
        <item x="11"/>
        <item x="97"/>
        <item x="22"/>
        <item x="115"/>
        <item x="96"/>
        <item x="333"/>
        <item x="147"/>
        <item x="34"/>
        <item x="260"/>
        <item x="294"/>
        <item x="120"/>
        <item x="205"/>
        <item x="35"/>
        <item x="265"/>
        <item x="25"/>
        <item x="143"/>
        <item x="318"/>
        <item x="118"/>
        <item x="18"/>
        <item x="316"/>
        <item x="14"/>
        <item x="215"/>
        <item x="266"/>
        <item x="52"/>
        <item x="4"/>
        <item x="331"/>
        <item x="32"/>
        <item x="45"/>
        <item x="255"/>
        <item x="112"/>
        <item x="270"/>
        <item x="104"/>
        <item x="107"/>
        <item x="83"/>
        <item x="276"/>
        <item x="319"/>
        <item x="100"/>
        <item x="99"/>
        <item x="40"/>
        <item x="179"/>
        <item x="233"/>
        <item x="293"/>
        <item x="6"/>
        <item x="321"/>
        <item x="197"/>
        <item x="71"/>
        <item x="195"/>
        <item x="219"/>
        <item x="262"/>
        <item x="242"/>
        <item x="79"/>
        <item x="240"/>
        <item x="49"/>
        <item x="199"/>
        <item x="61"/>
        <item x="226"/>
        <item x="53"/>
        <item x="209"/>
        <item x="221"/>
        <item x="248"/>
        <item x="122"/>
        <item x="224"/>
        <item x="298"/>
        <item x="86"/>
        <item x="234"/>
        <item x="37"/>
        <item x="213"/>
        <item x="246"/>
        <item x="113"/>
        <item x="30"/>
        <item x="313"/>
        <item x="206"/>
        <item x="194"/>
        <item x="264"/>
        <item x="48"/>
        <item x="31"/>
        <item x="111"/>
        <item x="201"/>
        <item x="27"/>
        <item x="229"/>
        <item x="162"/>
        <item x="225"/>
        <item x="292"/>
        <item x="47"/>
        <item x="173"/>
        <item x="184"/>
        <item x="218"/>
        <item x="253"/>
        <item x="1"/>
        <item x="148"/>
        <item x="134"/>
        <item x="196"/>
        <item x="146"/>
        <item x="236"/>
        <item x="91"/>
        <item x="312"/>
        <item x="181"/>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s>
  <rowFields count="2">
    <field x="10"/>
    <field x="1"/>
  </rowFields>
  <rowItems count="22">
    <i>
      <x v="5"/>
    </i>
    <i r="1">
      <x v="4"/>
    </i>
    <i r="1">
      <x v="5"/>
    </i>
    <i r="1">
      <x v="8"/>
    </i>
    <i r="1">
      <x v="9"/>
    </i>
    <i r="1">
      <x v="10"/>
    </i>
    <i r="1">
      <x v="12"/>
    </i>
    <i r="1">
      <x v="13"/>
    </i>
    <i r="1">
      <x v="16"/>
    </i>
    <i r="1">
      <x v="17"/>
    </i>
    <i r="1">
      <x v="19"/>
    </i>
    <i r="1">
      <x v="22"/>
    </i>
    <i r="1">
      <x v="27"/>
    </i>
    <i r="1">
      <x v="28"/>
    </i>
    <i r="1">
      <x v="29"/>
    </i>
    <i r="1">
      <x v="30"/>
    </i>
    <i r="1">
      <x v="33"/>
    </i>
    <i r="1">
      <x v="36"/>
    </i>
    <i r="1">
      <x v="38"/>
    </i>
    <i r="1">
      <x v="41"/>
    </i>
    <i r="1">
      <x v="44"/>
    </i>
    <i t="grand">
      <x/>
    </i>
  </rowItems>
  <colItems count="1">
    <i/>
  </colItems>
  <dataFields count="1">
    <dataField name="Count of Borrower ID Number" fld="0" subtotal="count" baseField="0" baseItem="0"/>
  </dataFields>
  <chartFormats count="4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3">
          <reference field="4294967294" count="1" selected="0">
            <x v="0"/>
          </reference>
          <reference field="1" count="1" selected="0">
            <x v="4"/>
          </reference>
          <reference field="10" count="1" selected="0">
            <x v="5"/>
          </reference>
        </references>
      </pivotArea>
    </chartFormat>
    <chartFormat chart="8" format="3">
      <pivotArea type="data" outline="0" fieldPosition="0">
        <references count="3">
          <reference field="4294967294" count="1" selected="0">
            <x v="0"/>
          </reference>
          <reference field="1" count="1" selected="0">
            <x v="5"/>
          </reference>
          <reference field="10" count="1" selected="0">
            <x v="5"/>
          </reference>
        </references>
      </pivotArea>
    </chartFormat>
    <chartFormat chart="8" format="4">
      <pivotArea type="data" outline="0" fieldPosition="0">
        <references count="3">
          <reference field="4294967294" count="1" selected="0">
            <x v="0"/>
          </reference>
          <reference field="1" count="1" selected="0">
            <x v="8"/>
          </reference>
          <reference field="10" count="1" selected="0">
            <x v="5"/>
          </reference>
        </references>
      </pivotArea>
    </chartFormat>
    <chartFormat chart="8" format="5">
      <pivotArea type="data" outline="0" fieldPosition="0">
        <references count="3">
          <reference field="4294967294" count="1" selected="0">
            <x v="0"/>
          </reference>
          <reference field="1" count="1" selected="0">
            <x v="9"/>
          </reference>
          <reference field="10" count="1" selected="0">
            <x v="5"/>
          </reference>
        </references>
      </pivotArea>
    </chartFormat>
    <chartFormat chart="8" format="6">
      <pivotArea type="data" outline="0" fieldPosition="0">
        <references count="3">
          <reference field="4294967294" count="1" selected="0">
            <x v="0"/>
          </reference>
          <reference field="1" count="1" selected="0">
            <x v="10"/>
          </reference>
          <reference field="10" count="1" selected="0">
            <x v="5"/>
          </reference>
        </references>
      </pivotArea>
    </chartFormat>
    <chartFormat chart="8" format="7">
      <pivotArea type="data" outline="0" fieldPosition="0">
        <references count="3">
          <reference field="4294967294" count="1" selected="0">
            <x v="0"/>
          </reference>
          <reference field="1" count="1" selected="0">
            <x v="12"/>
          </reference>
          <reference field="10" count="1" selected="0">
            <x v="5"/>
          </reference>
        </references>
      </pivotArea>
    </chartFormat>
    <chartFormat chart="8" format="8">
      <pivotArea type="data" outline="0" fieldPosition="0">
        <references count="3">
          <reference field="4294967294" count="1" selected="0">
            <x v="0"/>
          </reference>
          <reference field="1" count="1" selected="0">
            <x v="13"/>
          </reference>
          <reference field="10" count="1" selected="0">
            <x v="5"/>
          </reference>
        </references>
      </pivotArea>
    </chartFormat>
    <chartFormat chart="8" format="9">
      <pivotArea type="data" outline="0" fieldPosition="0">
        <references count="3">
          <reference field="4294967294" count="1" selected="0">
            <x v="0"/>
          </reference>
          <reference field="1" count="1" selected="0">
            <x v="16"/>
          </reference>
          <reference field="10" count="1" selected="0">
            <x v="5"/>
          </reference>
        </references>
      </pivotArea>
    </chartFormat>
    <chartFormat chart="8" format="10">
      <pivotArea type="data" outline="0" fieldPosition="0">
        <references count="3">
          <reference field="4294967294" count="1" selected="0">
            <x v="0"/>
          </reference>
          <reference field="1" count="1" selected="0">
            <x v="17"/>
          </reference>
          <reference field="10" count="1" selected="0">
            <x v="5"/>
          </reference>
        </references>
      </pivotArea>
    </chartFormat>
    <chartFormat chart="8" format="11">
      <pivotArea type="data" outline="0" fieldPosition="0">
        <references count="3">
          <reference field="4294967294" count="1" selected="0">
            <x v="0"/>
          </reference>
          <reference field="1" count="1" selected="0">
            <x v="19"/>
          </reference>
          <reference field="10" count="1" selected="0">
            <x v="5"/>
          </reference>
        </references>
      </pivotArea>
    </chartFormat>
    <chartFormat chart="8" format="12">
      <pivotArea type="data" outline="0" fieldPosition="0">
        <references count="3">
          <reference field="4294967294" count="1" selected="0">
            <x v="0"/>
          </reference>
          <reference field="1" count="1" selected="0">
            <x v="22"/>
          </reference>
          <reference field="10" count="1" selected="0">
            <x v="5"/>
          </reference>
        </references>
      </pivotArea>
    </chartFormat>
    <chartFormat chart="8" format="13">
      <pivotArea type="data" outline="0" fieldPosition="0">
        <references count="3">
          <reference field="4294967294" count="1" selected="0">
            <x v="0"/>
          </reference>
          <reference field="1" count="1" selected="0">
            <x v="27"/>
          </reference>
          <reference field="10" count="1" selected="0">
            <x v="5"/>
          </reference>
        </references>
      </pivotArea>
    </chartFormat>
    <chartFormat chart="8" format="14">
      <pivotArea type="data" outline="0" fieldPosition="0">
        <references count="3">
          <reference field="4294967294" count="1" selected="0">
            <x v="0"/>
          </reference>
          <reference field="1" count="1" selected="0">
            <x v="28"/>
          </reference>
          <reference field="10" count="1" selected="0">
            <x v="5"/>
          </reference>
        </references>
      </pivotArea>
    </chartFormat>
    <chartFormat chart="8" format="15">
      <pivotArea type="data" outline="0" fieldPosition="0">
        <references count="3">
          <reference field="4294967294" count="1" selected="0">
            <x v="0"/>
          </reference>
          <reference field="1" count="1" selected="0">
            <x v="29"/>
          </reference>
          <reference field="10" count="1" selected="0">
            <x v="5"/>
          </reference>
        </references>
      </pivotArea>
    </chartFormat>
    <chartFormat chart="8" format="16">
      <pivotArea type="data" outline="0" fieldPosition="0">
        <references count="3">
          <reference field="4294967294" count="1" selected="0">
            <x v="0"/>
          </reference>
          <reference field="1" count="1" selected="0">
            <x v="30"/>
          </reference>
          <reference field="10" count="1" selected="0">
            <x v="5"/>
          </reference>
        </references>
      </pivotArea>
    </chartFormat>
    <chartFormat chart="8" format="17">
      <pivotArea type="data" outline="0" fieldPosition="0">
        <references count="3">
          <reference field="4294967294" count="1" selected="0">
            <x v="0"/>
          </reference>
          <reference field="1" count="1" selected="0">
            <x v="33"/>
          </reference>
          <reference field="10" count="1" selected="0">
            <x v="5"/>
          </reference>
        </references>
      </pivotArea>
    </chartFormat>
    <chartFormat chart="8" format="18">
      <pivotArea type="data" outline="0" fieldPosition="0">
        <references count="3">
          <reference field="4294967294" count="1" selected="0">
            <x v="0"/>
          </reference>
          <reference field="1" count="1" selected="0">
            <x v="36"/>
          </reference>
          <reference field="10" count="1" selected="0">
            <x v="5"/>
          </reference>
        </references>
      </pivotArea>
    </chartFormat>
    <chartFormat chart="8" format="19">
      <pivotArea type="data" outline="0" fieldPosition="0">
        <references count="3">
          <reference field="4294967294" count="1" selected="0">
            <x v="0"/>
          </reference>
          <reference field="1" count="1" selected="0">
            <x v="38"/>
          </reference>
          <reference field="10" count="1" selected="0">
            <x v="5"/>
          </reference>
        </references>
      </pivotArea>
    </chartFormat>
    <chartFormat chart="8" format="20">
      <pivotArea type="data" outline="0" fieldPosition="0">
        <references count="3">
          <reference field="4294967294" count="1" selected="0">
            <x v="0"/>
          </reference>
          <reference field="1" count="1" selected="0">
            <x v="41"/>
          </reference>
          <reference field="10" count="1" selected="0">
            <x v="5"/>
          </reference>
        </references>
      </pivotArea>
    </chartFormat>
    <chartFormat chart="8" format="21">
      <pivotArea type="data" outline="0" fieldPosition="0">
        <references count="3">
          <reference field="4294967294" count="1" selected="0">
            <x v="0"/>
          </reference>
          <reference field="1" count="1" selected="0">
            <x v="44"/>
          </reference>
          <reference field="10" count="1" selected="0">
            <x v="5"/>
          </reference>
        </references>
      </pivotArea>
    </chartFormat>
    <chartFormat chart="10" format="43" series="1">
      <pivotArea type="data" outline="0" fieldPosition="0">
        <references count="1">
          <reference field="4294967294" count="1" selected="0">
            <x v="0"/>
          </reference>
        </references>
      </pivotArea>
    </chartFormat>
    <chartFormat chart="10" format="44">
      <pivotArea type="data" outline="0" fieldPosition="0">
        <references count="3">
          <reference field="4294967294" count="1" selected="0">
            <x v="0"/>
          </reference>
          <reference field="1" count="1" selected="0">
            <x v="4"/>
          </reference>
          <reference field="10" count="1" selected="0">
            <x v="5"/>
          </reference>
        </references>
      </pivotArea>
    </chartFormat>
    <chartFormat chart="10" format="45">
      <pivotArea type="data" outline="0" fieldPosition="0">
        <references count="3">
          <reference field="4294967294" count="1" selected="0">
            <x v="0"/>
          </reference>
          <reference field="1" count="1" selected="0">
            <x v="5"/>
          </reference>
          <reference field="10" count="1" selected="0">
            <x v="5"/>
          </reference>
        </references>
      </pivotArea>
    </chartFormat>
    <chartFormat chart="10" format="46">
      <pivotArea type="data" outline="0" fieldPosition="0">
        <references count="3">
          <reference field="4294967294" count="1" selected="0">
            <x v="0"/>
          </reference>
          <reference field="1" count="1" selected="0">
            <x v="8"/>
          </reference>
          <reference field="10" count="1" selected="0">
            <x v="5"/>
          </reference>
        </references>
      </pivotArea>
    </chartFormat>
    <chartFormat chart="10" format="47">
      <pivotArea type="data" outline="0" fieldPosition="0">
        <references count="3">
          <reference field="4294967294" count="1" selected="0">
            <x v="0"/>
          </reference>
          <reference field="1" count="1" selected="0">
            <x v="9"/>
          </reference>
          <reference field="10" count="1" selected="0">
            <x v="5"/>
          </reference>
        </references>
      </pivotArea>
    </chartFormat>
    <chartFormat chart="10" format="48">
      <pivotArea type="data" outline="0" fieldPosition="0">
        <references count="3">
          <reference field="4294967294" count="1" selected="0">
            <x v="0"/>
          </reference>
          <reference field="1" count="1" selected="0">
            <x v="10"/>
          </reference>
          <reference field="10" count="1" selected="0">
            <x v="5"/>
          </reference>
        </references>
      </pivotArea>
    </chartFormat>
    <chartFormat chart="10" format="49">
      <pivotArea type="data" outline="0" fieldPosition="0">
        <references count="3">
          <reference field="4294967294" count="1" selected="0">
            <x v="0"/>
          </reference>
          <reference field="1" count="1" selected="0">
            <x v="12"/>
          </reference>
          <reference field="10" count="1" selected="0">
            <x v="5"/>
          </reference>
        </references>
      </pivotArea>
    </chartFormat>
    <chartFormat chart="10" format="50">
      <pivotArea type="data" outline="0" fieldPosition="0">
        <references count="3">
          <reference field="4294967294" count="1" selected="0">
            <x v="0"/>
          </reference>
          <reference field="1" count="1" selected="0">
            <x v="13"/>
          </reference>
          <reference field="10" count="1" selected="0">
            <x v="5"/>
          </reference>
        </references>
      </pivotArea>
    </chartFormat>
    <chartFormat chart="10" format="51">
      <pivotArea type="data" outline="0" fieldPosition="0">
        <references count="3">
          <reference field="4294967294" count="1" selected="0">
            <x v="0"/>
          </reference>
          <reference field="1" count="1" selected="0">
            <x v="16"/>
          </reference>
          <reference field="10" count="1" selected="0">
            <x v="5"/>
          </reference>
        </references>
      </pivotArea>
    </chartFormat>
    <chartFormat chart="10" format="52">
      <pivotArea type="data" outline="0" fieldPosition="0">
        <references count="3">
          <reference field="4294967294" count="1" selected="0">
            <x v="0"/>
          </reference>
          <reference field="1" count="1" selected="0">
            <x v="17"/>
          </reference>
          <reference field="10" count="1" selected="0">
            <x v="5"/>
          </reference>
        </references>
      </pivotArea>
    </chartFormat>
    <chartFormat chart="10" format="53">
      <pivotArea type="data" outline="0" fieldPosition="0">
        <references count="3">
          <reference field="4294967294" count="1" selected="0">
            <x v="0"/>
          </reference>
          <reference field="1" count="1" selected="0">
            <x v="19"/>
          </reference>
          <reference field="10" count="1" selected="0">
            <x v="5"/>
          </reference>
        </references>
      </pivotArea>
    </chartFormat>
    <chartFormat chart="10" format="54">
      <pivotArea type="data" outline="0" fieldPosition="0">
        <references count="3">
          <reference field="4294967294" count="1" selected="0">
            <x v="0"/>
          </reference>
          <reference field="1" count="1" selected="0">
            <x v="22"/>
          </reference>
          <reference field="10" count="1" selected="0">
            <x v="5"/>
          </reference>
        </references>
      </pivotArea>
    </chartFormat>
    <chartFormat chart="10" format="55">
      <pivotArea type="data" outline="0" fieldPosition="0">
        <references count="3">
          <reference field="4294967294" count="1" selected="0">
            <x v="0"/>
          </reference>
          <reference field="1" count="1" selected="0">
            <x v="27"/>
          </reference>
          <reference field="10" count="1" selected="0">
            <x v="5"/>
          </reference>
        </references>
      </pivotArea>
    </chartFormat>
    <chartFormat chart="10" format="56">
      <pivotArea type="data" outline="0" fieldPosition="0">
        <references count="3">
          <reference field="4294967294" count="1" selected="0">
            <x v="0"/>
          </reference>
          <reference field="1" count="1" selected="0">
            <x v="28"/>
          </reference>
          <reference field="10" count="1" selected="0">
            <x v="5"/>
          </reference>
        </references>
      </pivotArea>
    </chartFormat>
    <chartFormat chart="10" format="57">
      <pivotArea type="data" outline="0" fieldPosition="0">
        <references count="3">
          <reference field="4294967294" count="1" selected="0">
            <x v="0"/>
          </reference>
          <reference field="1" count="1" selected="0">
            <x v="29"/>
          </reference>
          <reference field="10" count="1" selected="0">
            <x v="5"/>
          </reference>
        </references>
      </pivotArea>
    </chartFormat>
    <chartFormat chart="10" format="58">
      <pivotArea type="data" outline="0" fieldPosition="0">
        <references count="3">
          <reference field="4294967294" count="1" selected="0">
            <x v="0"/>
          </reference>
          <reference field="1" count="1" selected="0">
            <x v="30"/>
          </reference>
          <reference field="10" count="1" selected="0">
            <x v="5"/>
          </reference>
        </references>
      </pivotArea>
    </chartFormat>
    <chartFormat chart="10" format="59">
      <pivotArea type="data" outline="0" fieldPosition="0">
        <references count="3">
          <reference field="4294967294" count="1" selected="0">
            <x v="0"/>
          </reference>
          <reference field="1" count="1" selected="0">
            <x v="33"/>
          </reference>
          <reference field="10" count="1" selected="0">
            <x v="5"/>
          </reference>
        </references>
      </pivotArea>
    </chartFormat>
    <chartFormat chart="10" format="60">
      <pivotArea type="data" outline="0" fieldPosition="0">
        <references count="3">
          <reference field="4294967294" count="1" selected="0">
            <x v="0"/>
          </reference>
          <reference field="1" count="1" selected="0">
            <x v="36"/>
          </reference>
          <reference field="10" count="1" selected="0">
            <x v="5"/>
          </reference>
        </references>
      </pivotArea>
    </chartFormat>
    <chartFormat chart="10" format="61">
      <pivotArea type="data" outline="0" fieldPosition="0">
        <references count="3">
          <reference field="4294967294" count="1" selected="0">
            <x v="0"/>
          </reference>
          <reference field="1" count="1" selected="0">
            <x v="38"/>
          </reference>
          <reference field="10" count="1" selected="0">
            <x v="5"/>
          </reference>
        </references>
      </pivotArea>
    </chartFormat>
    <chartFormat chart="10" format="62">
      <pivotArea type="data" outline="0" fieldPosition="0">
        <references count="3">
          <reference field="4294967294" count="1" selected="0">
            <x v="0"/>
          </reference>
          <reference field="1" count="1" selected="0">
            <x v="41"/>
          </reference>
          <reference field="10" count="1" selected="0">
            <x v="5"/>
          </reference>
        </references>
      </pivotArea>
    </chartFormat>
    <chartFormat chart="10" format="63">
      <pivotArea type="data" outline="0" fieldPosition="0">
        <references count="3">
          <reference field="4294967294" count="1" selected="0">
            <x v="0"/>
          </reference>
          <reference field="1" count="1" selected="0">
            <x v="44"/>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B7E74-E2A0-4569-8290-C8CBDD4E01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20">
    <pivotField dataField="1" showAll="0"/>
    <pivotField showAll="0">
      <items count="48">
        <item x="31"/>
        <item x="45"/>
        <item x="18"/>
        <item x="14"/>
        <item x="1"/>
        <item x="6"/>
        <item x="20"/>
        <item x="42"/>
        <item x="26"/>
        <item x="11"/>
        <item x="46"/>
        <item x="41"/>
        <item x="19"/>
        <item x="35"/>
        <item x="32"/>
        <item x="29"/>
        <item x="34"/>
        <item x="37"/>
        <item x="44"/>
        <item x="5"/>
        <item x="9"/>
        <item x="10"/>
        <item x="13"/>
        <item x="43"/>
        <item x="17"/>
        <item x="25"/>
        <item x="21"/>
        <item x="40"/>
        <item x="2"/>
        <item x="38"/>
        <item x="7"/>
        <item x="28"/>
        <item x="39"/>
        <item x="4"/>
        <item x="33"/>
        <item x="15"/>
        <item x="27"/>
        <item x="16"/>
        <item x="24"/>
        <item x="36"/>
        <item x="23"/>
        <item x="8"/>
        <item x="12"/>
        <item x="30"/>
        <item x="3"/>
        <item x="0"/>
        <item x="22"/>
        <item t="default"/>
      </items>
    </pivotField>
    <pivotField showAll="0"/>
    <pivotField showAll="0"/>
    <pivotField showAll="0"/>
    <pivotField showAll="0"/>
    <pivotField showAll="0"/>
    <pivotField showAll="0"/>
    <pivotField showAll="0"/>
    <pivotField showAll="0"/>
    <pivotField axis="axisRow" showAll="0" sortType="ascending">
      <items count="7">
        <item x="5"/>
        <item x="3"/>
        <item x="0"/>
        <item x="2"/>
        <item x="4"/>
        <item x="1"/>
        <item t="default"/>
      </items>
    </pivotField>
    <pivotField numFmtId="2" showAll="0">
      <items count="340">
        <item x="243"/>
        <item x="210"/>
        <item x="323"/>
        <item x="129"/>
        <item x="26"/>
        <item x="334"/>
        <item x="202"/>
        <item x="89"/>
        <item x="2"/>
        <item x="192"/>
        <item x="110"/>
        <item x="140"/>
        <item x="308"/>
        <item x="259"/>
        <item x="281"/>
        <item x="211"/>
        <item x="93"/>
        <item x="103"/>
        <item x="156"/>
        <item x="252"/>
        <item x="216"/>
        <item x="330"/>
        <item x="188"/>
        <item x="256"/>
        <item x="247"/>
        <item x="119"/>
        <item x="193"/>
        <item x="77"/>
        <item x="8"/>
        <item x="144"/>
        <item x="325"/>
        <item x="166"/>
        <item x="297"/>
        <item x="335"/>
        <item x="170"/>
        <item x="286"/>
        <item x="309"/>
        <item x="289"/>
        <item x="338"/>
        <item x="94"/>
        <item x="15"/>
        <item x="123"/>
        <item x="214"/>
        <item x="329"/>
        <item x="137"/>
        <item x="299"/>
        <item x="250"/>
        <item x="160"/>
        <item x="267"/>
        <item x="239"/>
        <item x="228"/>
        <item x="307"/>
        <item x="278"/>
        <item x="238"/>
        <item x="155"/>
        <item x="320"/>
        <item x="55"/>
        <item x="241"/>
        <item x="131"/>
        <item x="317"/>
        <item x="0"/>
        <item x="81"/>
        <item x="249"/>
        <item x="75"/>
        <item x="12"/>
        <item x="186"/>
        <item x="191"/>
        <item x="220"/>
        <item x="128"/>
        <item x="304"/>
        <item x="3"/>
        <item x="41"/>
        <item x="76"/>
        <item x="182"/>
        <item x="327"/>
        <item x="133"/>
        <item x="279"/>
        <item x="163"/>
        <item x="54"/>
        <item x="85"/>
        <item x="203"/>
        <item x="157"/>
        <item x="124"/>
        <item x="161"/>
        <item x="274"/>
        <item x="51"/>
        <item x="126"/>
        <item x="275"/>
        <item x="324"/>
        <item x="117"/>
        <item x="167"/>
        <item x="263"/>
        <item x="39"/>
        <item x="251"/>
        <item x="153"/>
        <item x="17"/>
        <item x="141"/>
        <item x="69"/>
        <item x="46"/>
        <item x="145"/>
        <item x="261"/>
        <item x="257"/>
        <item x="189"/>
        <item x="142"/>
        <item x="7"/>
        <item x="127"/>
        <item x="70"/>
        <item x="284"/>
        <item x="227"/>
        <item x="301"/>
        <item x="277"/>
        <item x="332"/>
        <item x="254"/>
        <item x="33"/>
        <item x="59"/>
        <item x="136"/>
        <item x="223"/>
        <item x="302"/>
        <item x="92"/>
        <item x="295"/>
        <item x="135"/>
        <item x="190"/>
        <item x="288"/>
        <item x="82"/>
        <item x="207"/>
        <item x="176"/>
        <item x="303"/>
        <item x="66"/>
        <item x="101"/>
        <item x="282"/>
        <item x="67"/>
        <item x="106"/>
        <item x="60"/>
        <item x="273"/>
        <item x="139"/>
        <item x="73"/>
        <item x="187"/>
        <item x="174"/>
        <item x="244"/>
        <item x="222"/>
        <item x="200"/>
        <item x="44"/>
        <item x="9"/>
        <item x="16"/>
        <item x="152"/>
        <item x="19"/>
        <item x="180"/>
        <item x="88"/>
        <item x="154"/>
        <item x="177"/>
        <item x="125"/>
        <item x="172"/>
        <item x="198"/>
        <item x="84"/>
        <item x="272"/>
        <item x="280"/>
        <item x="109"/>
        <item x="74"/>
        <item x="326"/>
        <item x="230"/>
        <item x="150"/>
        <item x="168"/>
        <item x="185"/>
        <item x="291"/>
        <item x="158"/>
        <item x="204"/>
        <item x="283"/>
        <item x="178"/>
        <item x="336"/>
        <item x="87"/>
        <item x="132"/>
        <item x="328"/>
        <item x="38"/>
        <item x="28"/>
        <item x="121"/>
        <item x="138"/>
        <item x="68"/>
        <item x="105"/>
        <item x="63"/>
        <item x="98"/>
        <item x="5"/>
        <item x="56"/>
        <item x="315"/>
        <item x="208"/>
        <item x="290"/>
        <item x="29"/>
        <item x="20"/>
        <item x="72"/>
        <item x="95"/>
        <item x="114"/>
        <item x="50"/>
        <item x="300"/>
        <item x="287"/>
        <item x="130"/>
        <item x="175"/>
        <item x="116"/>
        <item x="58"/>
        <item x="245"/>
        <item x="149"/>
        <item x="183"/>
        <item x="171"/>
        <item x="232"/>
        <item x="43"/>
        <item x="337"/>
        <item x="165"/>
        <item x="90"/>
        <item x="306"/>
        <item x="42"/>
        <item x="23"/>
        <item x="57"/>
        <item x="212"/>
        <item x="151"/>
        <item x="62"/>
        <item x="217"/>
        <item x="64"/>
        <item x="269"/>
        <item x="271"/>
        <item x="159"/>
        <item x="322"/>
        <item x="310"/>
        <item x="268"/>
        <item x="258"/>
        <item x="13"/>
        <item x="314"/>
        <item x="285"/>
        <item x="296"/>
        <item x="169"/>
        <item x="21"/>
        <item x="231"/>
        <item x="305"/>
        <item x="10"/>
        <item x="108"/>
        <item x="237"/>
        <item x="36"/>
        <item x="80"/>
        <item x="102"/>
        <item x="65"/>
        <item x="78"/>
        <item x="311"/>
        <item x="235"/>
        <item x="24"/>
        <item x="164"/>
        <item x="11"/>
        <item x="97"/>
        <item x="22"/>
        <item x="115"/>
        <item x="96"/>
        <item x="333"/>
        <item x="147"/>
        <item x="34"/>
        <item x="260"/>
        <item x="294"/>
        <item x="120"/>
        <item x="205"/>
        <item x="35"/>
        <item x="265"/>
        <item x="25"/>
        <item x="143"/>
        <item x="318"/>
        <item x="118"/>
        <item x="18"/>
        <item x="316"/>
        <item x="14"/>
        <item x="215"/>
        <item x="266"/>
        <item x="52"/>
        <item x="4"/>
        <item x="331"/>
        <item x="32"/>
        <item x="45"/>
        <item x="255"/>
        <item x="112"/>
        <item x="270"/>
        <item x="104"/>
        <item x="107"/>
        <item x="83"/>
        <item x="276"/>
        <item x="319"/>
        <item x="100"/>
        <item x="99"/>
        <item x="40"/>
        <item x="179"/>
        <item x="233"/>
        <item x="293"/>
        <item x="6"/>
        <item x="321"/>
        <item x="197"/>
        <item x="71"/>
        <item x="195"/>
        <item x="219"/>
        <item x="262"/>
        <item x="242"/>
        <item x="79"/>
        <item x="240"/>
        <item x="49"/>
        <item x="199"/>
        <item x="61"/>
        <item x="226"/>
        <item x="53"/>
        <item x="209"/>
        <item x="221"/>
        <item x="248"/>
        <item x="122"/>
        <item x="224"/>
        <item x="298"/>
        <item x="86"/>
        <item x="234"/>
        <item x="37"/>
        <item x="213"/>
        <item x="246"/>
        <item x="113"/>
        <item x="30"/>
        <item x="313"/>
        <item x="206"/>
        <item x="194"/>
        <item x="264"/>
        <item x="48"/>
        <item x="31"/>
        <item x="111"/>
        <item x="201"/>
        <item x="27"/>
        <item x="229"/>
        <item x="162"/>
        <item x="225"/>
        <item x="292"/>
        <item x="47"/>
        <item x="173"/>
        <item x="184"/>
        <item x="218"/>
        <item x="253"/>
        <item x="1"/>
        <item x="148"/>
        <item x="134"/>
        <item x="196"/>
        <item x="146"/>
        <item x="236"/>
        <item x="91"/>
        <item x="312"/>
        <item x="181"/>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s>
  <rowFields count="1">
    <field x="10"/>
  </rowFields>
  <rowItems count="7">
    <i>
      <x/>
    </i>
    <i>
      <x v="1"/>
    </i>
    <i>
      <x v="2"/>
    </i>
    <i>
      <x v="3"/>
    </i>
    <i>
      <x v="4"/>
    </i>
    <i>
      <x v="5"/>
    </i>
    <i t="grand">
      <x/>
    </i>
  </rowItems>
  <colItems count="1">
    <i/>
  </colItems>
  <dataFields count="1">
    <dataField name="Count of Borrower ID Number"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 chart="2" format="5">
      <pivotArea type="data" outline="0" fieldPosition="0">
        <references count="2">
          <reference field="4294967294" count="1" selected="0">
            <x v="0"/>
          </reference>
          <reference field="10" count="1" selected="0">
            <x v="2"/>
          </reference>
        </references>
      </pivotArea>
    </chartFormat>
    <chartFormat chart="2" format="6">
      <pivotArea type="data" outline="0" fieldPosition="0">
        <references count="2">
          <reference field="4294967294" count="1" selected="0">
            <x v="0"/>
          </reference>
          <reference field="10" count="1" selected="0">
            <x v="3"/>
          </reference>
        </references>
      </pivotArea>
    </chartFormat>
    <chartFormat chart="2" format="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F00E00-7B8C-488E-B7AE-558E786528A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olden Pool">
  <location ref="E9:F12" firstHeaderRow="1" firstDataRow="1" firstDataCol="1"/>
  <pivotFields count="20">
    <pivotField dataField="1" showAll="0"/>
    <pivotField showAll="0">
      <items count="48">
        <item x="31"/>
        <item x="45"/>
        <item x="18"/>
        <item x="14"/>
        <item x="1"/>
        <item x="6"/>
        <item x="20"/>
        <item x="42"/>
        <item x="26"/>
        <item x="11"/>
        <item x="46"/>
        <item x="41"/>
        <item x="19"/>
        <item x="35"/>
        <item x="32"/>
        <item x="29"/>
        <item x="34"/>
        <item x="37"/>
        <item x="44"/>
        <item x="5"/>
        <item x="9"/>
        <item x="10"/>
        <item x="13"/>
        <item x="43"/>
        <item x="17"/>
        <item x="25"/>
        <item x="21"/>
        <item x="40"/>
        <item x="2"/>
        <item x="38"/>
        <item x="7"/>
        <item x="28"/>
        <item x="39"/>
        <item x="4"/>
        <item x="33"/>
        <item x="15"/>
        <item x="27"/>
        <item x="16"/>
        <item x="24"/>
        <item x="36"/>
        <item x="23"/>
        <item x="8"/>
        <item x="12"/>
        <item x="30"/>
        <item x="3"/>
        <item x="0"/>
        <item x="22"/>
        <item t="default"/>
      </items>
    </pivotField>
    <pivotField showAll="0"/>
    <pivotField showAll="0"/>
    <pivotField showAll="0"/>
    <pivotField showAll="0"/>
    <pivotField showAll="0"/>
    <pivotField showAll="0"/>
    <pivotField showAll="0"/>
    <pivotField showAll="0"/>
    <pivotField showAll="0">
      <items count="7">
        <item x="5"/>
        <item x="3"/>
        <item x="0"/>
        <item x="2"/>
        <item x="4"/>
        <item x="1"/>
        <item t="default"/>
      </items>
    </pivotField>
    <pivotField numFmtId="2" showAll="0">
      <items count="340">
        <item x="243"/>
        <item x="210"/>
        <item x="323"/>
        <item x="129"/>
        <item x="26"/>
        <item x="334"/>
        <item x="202"/>
        <item x="89"/>
        <item x="2"/>
        <item x="192"/>
        <item x="110"/>
        <item x="140"/>
        <item x="308"/>
        <item x="259"/>
        <item x="281"/>
        <item x="211"/>
        <item x="93"/>
        <item x="103"/>
        <item x="156"/>
        <item x="252"/>
        <item x="216"/>
        <item x="330"/>
        <item x="188"/>
        <item x="256"/>
        <item x="247"/>
        <item x="119"/>
        <item x="193"/>
        <item x="77"/>
        <item x="8"/>
        <item x="144"/>
        <item x="325"/>
        <item x="166"/>
        <item x="297"/>
        <item x="335"/>
        <item x="170"/>
        <item x="286"/>
        <item x="309"/>
        <item x="289"/>
        <item x="338"/>
        <item x="94"/>
        <item x="15"/>
        <item x="123"/>
        <item x="214"/>
        <item x="329"/>
        <item x="137"/>
        <item x="299"/>
        <item x="250"/>
        <item x="160"/>
        <item x="267"/>
        <item x="239"/>
        <item x="228"/>
        <item x="307"/>
        <item x="278"/>
        <item x="238"/>
        <item x="155"/>
        <item x="320"/>
        <item x="55"/>
        <item x="241"/>
        <item x="131"/>
        <item x="317"/>
        <item x="0"/>
        <item x="81"/>
        <item x="249"/>
        <item x="75"/>
        <item x="12"/>
        <item x="186"/>
        <item x="191"/>
        <item x="220"/>
        <item x="128"/>
        <item x="304"/>
        <item x="3"/>
        <item x="41"/>
        <item x="76"/>
        <item x="182"/>
        <item x="327"/>
        <item x="133"/>
        <item x="279"/>
        <item x="163"/>
        <item x="54"/>
        <item x="85"/>
        <item x="203"/>
        <item x="157"/>
        <item x="124"/>
        <item x="161"/>
        <item x="274"/>
        <item x="51"/>
        <item x="126"/>
        <item x="275"/>
        <item x="324"/>
        <item x="117"/>
        <item x="167"/>
        <item x="263"/>
        <item x="39"/>
        <item x="251"/>
        <item x="153"/>
        <item x="17"/>
        <item x="141"/>
        <item x="69"/>
        <item x="46"/>
        <item x="145"/>
        <item x="261"/>
        <item x="257"/>
        <item x="189"/>
        <item x="142"/>
        <item x="7"/>
        <item x="127"/>
        <item x="70"/>
        <item x="284"/>
        <item x="227"/>
        <item x="301"/>
        <item x="277"/>
        <item x="332"/>
        <item x="254"/>
        <item x="33"/>
        <item x="59"/>
        <item x="136"/>
        <item x="223"/>
        <item x="302"/>
        <item x="92"/>
        <item x="295"/>
        <item x="135"/>
        <item x="190"/>
        <item x="288"/>
        <item x="82"/>
        <item x="207"/>
        <item x="176"/>
        <item x="303"/>
        <item x="66"/>
        <item x="101"/>
        <item x="282"/>
        <item x="67"/>
        <item x="106"/>
        <item x="60"/>
        <item x="273"/>
        <item x="139"/>
        <item x="73"/>
        <item x="187"/>
        <item x="174"/>
        <item x="244"/>
        <item x="222"/>
        <item x="200"/>
        <item x="44"/>
        <item x="9"/>
        <item x="16"/>
        <item x="152"/>
        <item x="19"/>
        <item x="180"/>
        <item x="88"/>
        <item x="154"/>
        <item x="177"/>
        <item x="125"/>
        <item x="172"/>
        <item x="198"/>
        <item x="84"/>
        <item x="272"/>
        <item x="280"/>
        <item x="109"/>
        <item x="74"/>
        <item x="326"/>
        <item x="230"/>
        <item x="150"/>
        <item x="168"/>
        <item x="185"/>
        <item x="291"/>
        <item x="158"/>
        <item x="204"/>
        <item x="283"/>
        <item x="178"/>
        <item x="336"/>
        <item x="87"/>
        <item x="132"/>
        <item x="328"/>
        <item x="38"/>
        <item x="28"/>
        <item x="121"/>
        <item x="138"/>
        <item x="68"/>
        <item x="105"/>
        <item x="63"/>
        <item x="98"/>
        <item x="5"/>
        <item x="56"/>
        <item x="315"/>
        <item x="208"/>
        <item x="290"/>
        <item x="29"/>
        <item x="20"/>
        <item x="72"/>
        <item x="95"/>
        <item x="114"/>
        <item x="50"/>
        <item x="300"/>
        <item x="287"/>
        <item x="130"/>
        <item x="175"/>
        <item x="116"/>
        <item x="58"/>
        <item x="245"/>
        <item x="149"/>
        <item x="183"/>
        <item x="171"/>
        <item x="232"/>
        <item x="43"/>
        <item x="337"/>
        <item x="165"/>
        <item x="90"/>
        <item x="306"/>
        <item x="42"/>
        <item x="23"/>
        <item x="57"/>
        <item x="212"/>
        <item x="151"/>
        <item x="62"/>
        <item x="217"/>
        <item x="64"/>
        <item x="269"/>
        <item x="271"/>
        <item x="159"/>
        <item x="322"/>
        <item x="310"/>
        <item x="268"/>
        <item x="258"/>
        <item x="13"/>
        <item x="314"/>
        <item x="285"/>
        <item x="296"/>
        <item x="169"/>
        <item x="21"/>
        <item x="231"/>
        <item x="305"/>
        <item x="10"/>
        <item x="108"/>
        <item x="237"/>
        <item x="36"/>
        <item x="80"/>
        <item x="102"/>
        <item x="65"/>
        <item x="78"/>
        <item x="311"/>
        <item x="235"/>
        <item x="24"/>
        <item x="164"/>
        <item x="11"/>
        <item x="97"/>
        <item x="22"/>
        <item x="115"/>
        <item x="96"/>
        <item x="333"/>
        <item x="147"/>
        <item x="34"/>
        <item x="260"/>
        <item x="294"/>
        <item x="120"/>
        <item x="205"/>
        <item x="35"/>
        <item x="265"/>
        <item x="25"/>
        <item x="143"/>
        <item x="318"/>
        <item x="118"/>
        <item x="18"/>
        <item x="316"/>
        <item x="14"/>
        <item x="215"/>
        <item x="266"/>
        <item x="52"/>
        <item x="4"/>
        <item x="331"/>
        <item x="32"/>
        <item x="45"/>
        <item x="255"/>
        <item x="112"/>
        <item x="270"/>
        <item x="104"/>
        <item x="107"/>
        <item x="83"/>
        <item x="276"/>
        <item x="319"/>
        <item x="100"/>
        <item x="99"/>
        <item x="40"/>
        <item x="179"/>
        <item x="233"/>
        <item x="293"/>
        <item x="6"/>
        <item x="321"/>
        <item x="197"/>
        <item x="71"/>
        <item x="195"/>
        <item x="219"/>
        <item x="262"/>
        <item x="242"/>
        <item x="79"/>
        <item x="240"/>
        <item x="49"/>
        <item x="199"/>
        <item x="61"/>
        <item x="226"/>
        <item x="53"/>
        <item x="209"/>
        <item x="221"/>
        <item x="248"/>
        <item x="122"/>
        <item x="224"/>
        <item x="298"/>
        <item x="86"/>
        <item x="234"/>
        <item x="37"/>
        <item x="213"/>
        <item x="246"/>
        <item x="113"/>
        <item x="30"/>
        <item x="313"/>
        <item x="206"/>
        <item x="194"/>
        <item x="264"/>
        <item x="48"/>
        <item x="31"/>
        <item x="111"/>
        <item x="201"/>
        <item x="27"/>
        <item x="229"/>
        <item x="162"/>
        <item x="225"/>
        <item x="292"/>
        <item x="47"/>
        <item x="173"/>
        <item x="184"/>
        <item x="218"/>
        <item x="253"/>
        <item x="1"/>
        <item x="148"/>
        <item x="134"/>
        <item x="196"/>
        <item x="146"/>
        <item x="236"/>
        <item x="91"/>
        <item x="312"/>
        <item x="181"/>
        <item t="default"/>
      </items>
    </pivotField>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Borrower ID Number" fld="0" subtotal="count" baseField="12"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4F8084-4BD9-4178-B348-057C4381459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olden Pool">
  <location ref="E19:E20" firstHeaderRow="1" firstDataRow="1" firstDataCol="0"/>
  <pivotFields count="20">
    <pivotField dataField="1" showAll="0"/>
    <pivotField showAll="0">
      <items count="48">
        <item x="31"/>
        <item x="45"/>
        <item x="18"/>
        <item x="14"/>
        <item x="1"/>
        <item x="6"/>
        <item x="20"/>
        <item x="42"/>
        <item x="26"/>
        <item x="11"/>
        <item x="46"/>
        <item x="41"/>
        <item x="19"/>
        <item x="35"/>
        <item x="32"/>
        <item x="29"/>
        <item x="34"/>
        <item x="37"/>
        <item x="44"/>
        <item x="5"/>
        <item x="9"/>
        <item x="10"/>
        <item x="13"/>
        <item x="43"/>
        <item x="17"/>
        <item x="25"/>
        <item x="21"/>
        <item x="40"/>
        <item x="2"/>
        <item x="38"/>
        <item x="7"/>
        <item x="28"/>
        <item x="39"/>
        <item x="4"/>
        <item x="33"/>
        <item x="15"/>
        <item x="27"/>
        <item x="16"/>
        <item x="24"/>
        <item x="36"/>
        <item x="23"/>
        <item x="8"/>
        <item x="12"/>
        <item x="30"/>
        <item x="3"/>
        <item x="0"/>
        <item x="22"/>
        <item t="default"/>
      </items>
    </pivotField>
    <pivotField showAll="0"/>
    <pivotField showAll="0"/>
    <pivotField showAll="0"/>
    <pivotField showAll="0"/>
    <pivotField showAll="0"/>
    <pivotField showAll="0"/>
    <pivotField showAll="0"/>
    <pivotField showAll="0"/>
    <pivotField showAll="0">
      <items count="7">
        <item x="5"/>
        <item x="3"/>
        <item x="0"/>
        <item x="2"/>
        <item x="4"/>
        <item x="1"/>
        <item t="default"/>
      </items>
    </pivotField>
    <pivotField numFmtId="2" showAll="0">
      <items count="340">
        <item x="243"/>
        <item x="210"/>
        <item x="323"/>
        <item x="129"/>
        <item x="26"/>
        <item x="334"/>
        <item x="202"/>
        <item x="89"/>
        <item x="2"/>
        <item x="192"/>
        <item x="110"/>
        <item x="140"/>
        <item x="308"/>
        <item x="259"/>
        <item x="281"/>
        <item x="211"/>
        <item x="93"/>
        <item x="103"/>
        <item x="156"/>
        <item x="252"/>
        <item x="216"/>
        <item x="330"/>
        <item x="188"/>
        <item x="256"/>
        <item x="247"/>
        <item x="119"/>
        <item x="193"/>
        <item x="77"/>
        <item x="8"/>
        <item x="144"/>
        <item x="325"/>
        <item x="166"/>
        <item x="297"/>
        <item x="335"/>
        <item x="170"/>
        <item x="286"/>
        <item x="309"/>
        <item x="289"/>
        <item x="338"/>
        <item x="94"/>
        <item x="15"/>
        <item x="123"/>
        <item x="214"/>
        <item x="329"/>
        <item x="137"/>
        <item x="299"/>
        <item x="250"/>
        <item x="160"/>
        <item x="267"/>
        <item x="239"/>
        <item x="228"/>
        <item x="307"/>
        <item x="278"/>
        <item x="238"/>
        <item x="155"/>
        <item x="320"/>
        <item x="55"/>
        <item x="241"/>
        <item x="131"/>
        <item x="317"/>
        <item x="0"/>
        <item x="81"/>
        <item x="249"/>
        <item x="75"/>
        <item x="12"/>
        <item x="186"/>
        <item x="191"/>
        <item x="220"/>
        <item x="128"/>
        <item x="304"/>
        <item x="3"/>
        <item x="41"/>
        <item x="76"/>
        <item x="182"/>
        <item x="327"/>
        <item x="133"/>
        <item x="279"/>
        <item x="163"/>
        <item x="54"/>
        <item x="85"/>
        <item x="203"/>
        <item x="157"/>
        <item x="124"/>
        <item x="161"/>
        <item x="274"/>
        <item x="51"/>
        <item x="126"/>
        <item x="275"/>
        <item x="324"/>
        <item x="117"/>
        <item x="167"/>
        <item x="263"/>
        <item x="39"/>
        <item x="251"/>
        <item x="153"/>
        <item x="17"/>
        <item x="141"/>
        <item x="69"/>
        <item x="46"/>
        <item x="145"/>
        <item x="261"/>
        <item x="257"/>
        <item x="189"/>
        <item x="142"/>
        <item x="7"/>
        <item x="127"/>
        <item x="70"/>
        <item x="284"/>
        <item x="227"/>
        <item x="301"/>
        <item x="277"/>
        <item x="332"/>
        <item x="254"/>
        <item x="33"/>
        <item x="59"/>
        <item x="136"/>
        <item x="223"/>
        <item x="302"/>
        <item x="92"/>
        <item x="295"/>
        <item x="135"/>
        <item x="190"/>
        <item x="288"/>
        <item x="82"/>
        <item x="207"/>
        <item x="176"/>
        <item x="303"/>
        <item x="66"/>
        <item x="101"/>
        <item x="282"/>
        <item x="67"/>
        <item x="106"/>
        <item x="60"/>
        <item x="273"/>
        <item x="139"/>
        <item x="73"/>
        <item x="187"/>
        <item x="174"/>
        <item x="244"/>
        <item x="222"/>
        <item x="200"/>
        <item x="44"/>
        <item x="9"/>
        <item x="16"/>
        <item x="152"/>
        <item x="19"/>
        <item x="180"/>
        <item x="88"/>
        <item x="154"/>
        <item x="177"/>
        <item x="125"/>
        <item x="172"/>
        <item x="198"/>
        <item x="84"/>
        <item x="272"/>
        <item x="280"/>
        <item x="109"/>
        <item x="74"/>
        <item x="326"/>
        <item x="230"/>
        <item x="150"/>
        <item x="168"/>
        <item x="185"/>
        <item x="291"/>
        <item x="158"/>
        <item x="204"/>
        <item x="283"/>
        <item x="178"/>
        <item x="336"/>
        <item x="87"/>
        <item x="132"/>
        <item x="328"/>
        <item x="38"/>
        <item x="28"/>
        <item x="121"/>
        <item x="138"/>
        <item x="68"/>
        <item x="105"/>
        <item x="63"/>
        <item x="98"/>
        <item x="5"/>
        <item x="56"/>
        <item x="315"/>
        <item x="208"/>
        <item x="290"/>
        <item x="29"/>
        <item x="20"/>
        <item x="72"/>
        <item x="95"/>
        <item x="114"/>
        <item x="50"/>
        <item x="300"/>
        <item x="287"/>
        <item x="130"/>
        <item x="175"/>
        <item x="116"/>
        <item x="58"/>
        <item x="245"/>
        <item x="149"/>
        <item x="183"/>
        <item x="171"/>
        <item x="232"/>
        <item x="43"/>
        <item x="337"/>
        <item x="165"/>
        <item x="90"/>
        <item x="306"/>
        <item x="42"/>
        <item x="23"/>
        <item x="57"/>
        <item x="212"/>
        <item x="151"/>
        <item x="62"/>
        <item x="217"/>
        <item x="64"/>
        <item x="269"/>
        <item x="271"/>
        <item x="159"/>
        <item x="322"/>
        <item x="310"/>
        <item x="268"/>
        <item x="258"/>
        <item x="13"/>
        <item x="314"/>
        <item x="285"/>
        <item x="296"/>
        <item x="169"/>
        <item x="21"/>
        <item x="231"/>
        <item x="305"/>
        <item x="10"/>
        <item x="108"/>
        <item x="237"/>
        <item x="36"/>
        <item x="80"/>
        <item x="102"/>
        <item x="65"/>
        <item x="78"/>
        <item x="311"/>
        <item x="235"/>
        <item x="24"/>
        <item x="164"/>
        <item x="11"/>
        <item x="97"/>
        <item x="22"/>
        <item x="115"/>
        <item x="96"/>
        <item x="333"/>
        <item x="147"/>
        <item x="34"/>
        <item x="260"/>
        <item x="294"/>
        <item x="120"/>
        <item x="205"/>
        <item x="35"/>
        <item x="265"/>
        <item x="25"/>
        <item x="143"/>
        <item x="318"/>
        <item x="118"/>
        <item x="18"/>
        <item x="316"/>
        <item x="14"/>
        <item x="215"/>
        <item x="266"/>
        <item x="52"/>
        <item x="4"/>
        <item x="331"/>
        <item x="32"/>
        <item x="45"/>
        <item x="255"/>
        <item x="112"/>
        <item x="270"/>
        <item x="104"/>
        <item x="107"/>
        <item x="83"/>
        <item x="276"/>
        <item x="319"/>
        <item x="100"/>
        <item x="99"/>
        <item x="40"/>
        <item x="179"/>
        <item x="233"/>
        <item x="293"/>
        <item x="6"/>
        <item x="321"/>
        <item x="197"/>
        <item x="71"/>
        <item x="195"/>
        <item x="219"/>
        <item x="262"/>
        <item x="242"/>
        <item x="79"/>
        <item x="240"/>
        <item x="49"/>
        <item x="199"/>
        <item x="61"/>
        <item x="226"/>
        <item x="53"/>
        <item x="209"/>
        <item x="221"/>
        <item x="248"/>
        <item x="122"/>
        <item x="224"/>
        <item x="298"/>
        <item x="86"/>
        <item x="234"/>
        <item x="37"/>
        <item x="213"/>
        <item x="246"/>
        <item x="113"/>
        <item x="30"/>
        <item x="313"/>
        <item x="206"/>
        <item x="194"/>
        <item x="264"/>
        <item x="48"/>
        <item x="31"/>
        <item x="111"/>
        <item x="201"/>
        <item x="27"/>
        <item x="229"/>
        <item x="162"/>
        <item x="225"/>
        <item x="292"/>
        <item x="47"/>
        <item x="173"/>
        <item x="184"/>
        <item x="218"/>
        <item x="253"/>
        <item x="1"/>
        <item x="148"/>
        <item x="134"/>
        <item x="196"/>
        <item x="146"/>
        <item x="236"/>
        <item x="91"/>
        <item x="312"/>
        <item x="181"/>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s>
  <rowItems count="1">
    <i/>
  </rowItems>
  <colItems count="1">
    <i/>
  </colItems>
  <dataFields count="1">
    <dataField name="Count of Borrower ID Number" fld="0" subtotal="count" baseField="1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6D840F-FAA8-41ED-990F-400B85E726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F17" firstHeaderRow="1" firstDataRow="1" firstDataCol="1"/>
  <pivotFields count="20">
    <pivotField dataField="1" showAll="0"/>
    <pivotField showAll="0">
      <items count="48">
        <item x="31"/>
        <item x="45"/>
        <item x="18"/>
        <item x="14"/>
        <item x="1"/>
        <item x="6"/>
        <item x="20"/>
        <item x="42"/>
        <item x="26"/>
        <item x="11"/>
        <item x="46"/>
        <item x="41"/>
        <item x="19"/>
        <item x="35"/>
        <item x="32"/>
        <item x="29"/>
        <item x="34"/>
        <item x="37"/>
        <item x="44"/>
        <item x="5"/>
        <item x="9"/>
        <item x="10"/>
        <item x="13"/>
        <item x="43"/>
        <item x="17"/>
        <item x="25"/>
        <item x="21"/>
        <item x="40"/>
        <item x="2"/>
        <item x="38"/>
        <item x="7"/>
        <item x="28"/>
        <item x="39"/>
        <item x="4"/>
        <item x="33"/>
        <item x="15"/>
        <item x="27"/>
        <item x="16"/>
        <item x="24"/>
        <item x="36"/>
        <item x="23"/>
        <item x="8"/>
        <item x="12"/>
        <item x="30"/>
        <item x="3"/>
        <item x="0"/>
        <item x="22"/>
        <item t="default"/>
      </items>
    </pivotField>
    <pivotField showAll="0"/>
    <pivotField showAll="0"/>
    <pivotField showAll="0"/>
    <pivotField showAll="0"/>
    <pivotField showAll="0"/>
    <pivotField showAll="0"/>
    <pivotField showAll="0"/>
    <pivotField showAll="0"/>
    <pivotField showAll="0">
      <items count="7">
        <item x="5"/>
        <item x="3"/>
        <item x="0"/>
        <item x="2"/>
        <item x="4"/>
        <item x="1"/>
        <item t="default"/>
      </items>
    </pivotField>
    <pivotField numFmtId="2" showAll="0">
      <items count="340">
        <item x="243"/>
        <item x="210"/>
        <item x="323"/>
        <item x="129"/>
        <item x="26"/>
        <item x="334"/>
        <item x="202"/>
        <item x="89"/>
        <item x="2"/>
        <item x="192"/>
        <item x="110"/>
        <item x="140"/>
        <item x="308"/>
        <item x="259"/>
        <item x="281"/>
        <item x="211"/>
        <item x="93"/>
        <item x="103"/>
        <item x="156"/>
        <item x="252"/>
        <item x="216"/>
        <item x="330"/>
        <item x="188"/>
        <item x="256"/>
        <item x="247"/>
        <item x="119"/>
        <item x="193"/>
        <item x="77"/>
        <item x="8"/>
        <item x="144"/>
        <item x="325"/>
        <item x="166"/>
        <item x="297"/>
        <item x="335"/>
        <item x="170"/>
        <item x="286"/>
        <item x="309"/>
        <item x="289"/>
        <item x="338"/>
        <item x="94"/>
        <item x="15"/>
        <item x="123"/>
        <item x="214"/>
        <item x="329"/>
        <item x="137"/>
        <item x="299"/>
        <item x="250"/>
        <item x="160"/>
        <item x="267"/>
        <item x="239"/>
        <item x="228"/>
        <item x="307"/>
        <item x="278"/>
        <item x="238"/>
        <item x="155"/>
        <item x="320"/>
        <item x="55"/>
        <item x="241"/>
        <item x="131"/>
        <item x="317"/>
        <item x="0"/>
        <item x="81"/>
        <item x="249"/>
        <item x="75"/>
        <item x="12"/>
        <item x="186"/>
        <item x="191"/>
        <item x="220"/>
        <item x="128"/>
        <item x="304"/>
        <item x="3"/>
        <item x="41"/>
        <item x="76"/>
        <item x="182"/>
        <item x="327"/>
        <item x="133"/>
        <item x="279"/>
        <item x="163"/>
        <item x="54"/>
        <item x="85"/>
        <item x="203"/>
        <item x="157"/>
        <item x="124"/>
        <item x="161"/>
        <item x="274"/>
        <item x="51"/>
        <item x="126"/>
        <item x="275"/>
        <item x="324"/>
        <item x="117"/>
        <item x="167"/>
        <item x="263"/>
        <item x="39"/>
        <item x="251"/>
        <item x="153"/>
        <item x="17"/>
        <item x="141"/>
        <item x="69"/>
        <item x="46"/>
        <item x="145"/>
        <item x="261"/>
        <item x="257"/>
        <item x="189"/>
        <item x="142"/>
        <item x="7"/>
        <item x="127"/>
        <item x="70"/>
        <item x="284"/>
        <item x="227"/>
        <item x="301"/>
        <item x="277"/>
        <item x="332"/>
        <item x="254"/>
        <item x="33"/>
        <item x="59"/>
        <item x="136"/>
        <item x="223"/>
        <item x="302"/>
        <item x="92"/>
        <item x="295"/>
        <item x="135"/>
        <item x="190"/>
        <item x="288"/>
        <item x="82"/>
        <item x="207"/>
        <item x="176"/>
        <item x="303"/>
        <item x="66"/>
        <item x="101"/>
        <item x="282"/>
        <item x="67"/>
        <item x="106"/>
        <item x="60"/>
        <item x="273"/>
        <item x="139"/>
        <item x="73"/>
        <item x="187"/>
        <item x="174"/>
        <item x="244"/>
        <item x="222"/>
        <item x="200"/>
        <item x="44"/>
        <item x="9"/>
        <item x="16"/>
        <item x="152"/>
        <item x="19"/>
        <item x="180"/>
        <item x="88"/>
        <item x="154"/>
        <item x="177"/>
        <item x="125"/>
        <item x="172"/>
        <item x="198"/>
        <item x="84"/>
        <item x="272"/>
        <item x="280"/>
        <item x="109"/>
        <item x="74"/>
        <item x="326"/>
        <item x="230"/>
        <item x="150"/>
        <item x="168"/>
        <item x="185"/>
        <item x="291"/>
        <item x="158"/>
        <item x="204"/>
        <item x="283"/>
        <item x="178"/>
        <item x="336"/>
        <item x="87"/>
        <item x="132"/>
        <item x="328"/>
        <item x="38"/>
        <item x="28"/>
        <item x="121"/>
        <item x="138"/>
        <item x="68"/>
        <item x="105"/>
        <item x="63"/>
        <item x="98"/>
        <item x="5"/>
        <item x="56"/>
        <item x="315"/>
        <item x="208"/>
        <item x="290"/>
        <item x="29"/>
        <item x="20"/>
        <item x="72"/>
        <item x="95"/>
        <item x="114"/>
        <item x="50"/>
        <item x="300"/>
        <item x="287"/>
        <item x="130"/>
        <item x="175"/>
        <item x="116"/>
        <item x="58"/>
        <item x="245"/>
        <item x="149"/>
        <item x="183"/>
        <item x="171"/>
        <item x="232"/>
        <item x="43"/>
        <item x="337"/>
        <item x="165"/>
        <item x="90"/>
        <item x="306"/>
        <item x="42"/>
        <item x="23"/>
        <item x="57"/>
        <item x="212"/>
        <item x="151"/>
        <item x="62"/>
        <item x="217"/>
        <item x="64"/>
        <item x="269"/>
        <item x="271"/>
        <item x="159"/>
        <item x="322"/>
        <item x="310"/>
        <item x="268"/>
        <item x="258"/>
        <item x="13"/>
        <item x="314"/>
        <item x="285"/>
        <item x="296"/>
        <item x="169"/>
        <item x="21"/>
        <item x="231"/>
        <item x="305"/>
        <item x="10"/>
        <item x="108"/>
        <item x="237"/>
        <item x="36"/>
        <item x="80"/>
        <item x="102"/>
        <item x="65"/>
        <item x="78"/>
        <item x="311"/>
        <item x="235"/>
        <item x="24"/>
        <item x="164"/>
        <item x="11"/>
        <item x="97"/>
        <item x="22"/>
        <item x="115"/>
        <item x="96"/>
        <item x="333"/>
        <item x="147"/>
        <item x="34"/>
        <item x="260"/>
        <item x="294"/>
        <item x="120"/>
        <item x="205"/>
        <item x="35"/>
        <item x="265"/>
        <item x="25"/>
        <item x="143"/>
        <item x="318"/>
        <item x="118"/>
        <item x="18"/>
        <item x="316"/>
        <item x="14"/>
        <item x="215"/>
        <item x="266"/>
        <item x="52"/>
        <item x="4"/>
        <item x="331"/>
        <item x="32"/>
        <item x="45"/>
        <item x="255"/>
        <item x="112"/>
        <item x="270"/>
        <item x="104"/>
        <item x="107"/>
        <item x="83"/>
        <item x="276"/>
        <item x="319"/>
        <item x="100"/>
        <item x="99"/>
        <item x="40"/>
        <item x="179"/>
        <item x="233"/>
        <item x="293"/>
        <item x="6"/>
        <item x="321"/>
        <item x="197"/>
        <item x="71"/>
        <item x="195"/>
        <item x="219"/>
        <item x="262"/>
        <item x="242"/>
        <item x="79"/>
        <item x="240"/>
        <item x="49"/>
        <item x="199"/>
        <item x="61"/>
        <item x="226"/>
        <item x="53"/>
        <item x="209"/>
        <item x="221"/>
        <item x="248"/>
        <item x="122"/>
        <item x="224"/>
        <item x="298"/>
        <item x="86"/>
        <item x="234"/>
        <item x="37"/>
        <item x="213"/>
        <item x="246"/>
        <item x="113"/>
        <item x="30"/>
        <item x="313"/>
        <item x="206"/>
        <item x="194"/>
        <item x="264"/>
        <item x="48"/>
        <item x="31"/>
        <item x="111"/>
        <item x="201"/>
        <item x="27"/>
        <item x="229"/>
        <item x="162"/>
        <item x="225"/>
        <item x="292"/>
        <item x="47"/>
        <item x="173"/>
        <item x="184"/>
        <item x="218"/>
        <item x="253"/>
        <item x="1"/>
        <item x="148"/>
        <item x="134"/>
        <item x="196"/>
        <item x="146"/>
        <item x="236"/>
        <item x="91"/>
        <item x="312"/>
        <item x="181"/>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axis="axisRow" showAll="0">
      <items count="3">
        <item x="0"/>
        <item x="1"/>
        <item t="default"/>
      </items>
    </pivotField>
  </pivotFields>
  <rowFields count="1">
    <field x="19"/>
  </rowFields>
  <rowItems count="3">
    <i>
      <x/>
    </i>
    <i>
      <x v="1"/>
    </i>
    <i t="grand">
      <x/>
    </i>
  </rowItems>
  <colItems count="1">
    <i/>
  </colItems>
  <dataFields count="1">
    <dataField name="Count of Borrower ID Number"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de_Area_Location_Code" xr10:uid="{700C3C86-0FB3-4AF0-9E9D-82048E2141C4}" sourceName="Wide Area Location Code">
  <pivotTables>
    <pivotTable tabId="2" name="PivotTable1"/>
    <pivotTable tabId="2" name="PivotTable2"/>
    <pivotTable tabId="2" name="PivotTable4"/>
    <pivotTable tabId="2" name="PivotTable6"/>
    <pivotTable tabId="2" name="PivotTable7"/>
    <pivotTable tabId="2" name="PivotTable9"/>
  </pivotTables>
  <data>
    <tabular pivotCacheId="1955826201">
      <items count="47">
        <i x="31" s="1"/>
        <i x="45" s="1"/>
        <i x="18" s="1"/>
        <i x="14" s="1"/>
        <i x="1" s="1"/>
        <i x="6" s="1"/>
        <i x="20" s="1"/>
        <i x="42" s="1"/>
        <i x="26" s="1"/>
        <i x="11" s="1"/>
        <i x="46" s="1"/>
        <i x="41" s="1"/>
        <i x="19" s="1"/>
        <i x="35" s="1"/>
        <i x="32" s="1"/>
        <i x="29" s="1"/>
        <i x="34" s="1"/>
        <i x="37" s="1"/>
        <i x="44" s="1"/>
        <i x="5" s="1"/>
        <i x="9" s="1"/>
        <i x="10" s="1"/>
        <i x="13" s="1"/>
        <i x="43" s="1"/>
        <i x="17" s="1"/>
        <i x="25" s="1"/>
        <i x="21" s="1"/>
        <i x="40" s="1"/>
        <i x="2" s="1"/>
        <i x="38" s="1"/>
        <i x="7" s="1"/>
        <i x="28" s="1"/>
        <i x="39" s="1"/>
        <i x="4" s="1"/>
        <i x="33" s="1"/>
        <i x="15" s="1"/>
        <i x="27" s="1"/>
        <i x="16" s="1"/>
        <i x="24" s="1"/>
        <i x="36" s="1"/>
        <i x="23" s="1"/>
        <i x="8" s="1"/>
        <i x="12" s="1"/>
        <i x="30" s="1"/>
        <i x="3" s="1"/>
        <i x="0" s="1"/>
        <i x="2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ority_range" xr10:uid="{F8E7AC8B-2410-48BE-81B0-57FB58FE12D9}" sourceName="Minority range">
  <pivotTables>
    <pivotTable tabId="2" name="PivotTable1"/>
    <pivotTable tabId="2" name="PivotTable4"/>
    <pivotTable tabId="2" name="PivotTable6"/>
    <pivotTable tabId="2" name="PivotTable7"/>
    <pivotTable tabId="2" name="PivotTable9"/>
  </pivotTables>
  <data>
    <tabular pivotCacheId="1955826201">
      <items count="6">
        <i x="5" s="1"/>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TV" xr10:uid="{28337AA2-FD94-4C6A-BD67-C7233B60128D}" sourceName="LTV">
  <pivotTables>
    <pivotTable tabId="2" name="PivotTable1"/>
    <pivotTable tabId="2" name="PivotTable2"/>
    <pivotTable tabId="2" name="PivotTable4"/>
    <pivotTable tabId="2" name="PivotTable6"/>
    <pivotTable tabId="2" name="PivotTable7"/>
    <pivotTable tabId="2" name="PivotTable9"/>
  </pivotTables>
  <data>
    <tabular pivotCacheId="1955826201">
      <items count="339">
        <i x="243" s="1"/>
        <i x="210" s="1"/>
        <i x="323" s="1"/>
        <i x="129" s="1"/>
        <i x="26" s="1"/>
        <i x="334" s="1"/>
        <i x="202" s="1"/>
        <i x="89" s="1"/>
        <i x="2" s="1"/>
        <i x="192" s="1"/>
        <i x="110" s="1"/>
        <i x="140" s="1"/>
        <i x="308" s="1"/>
        <i x="259" s="1"/>
        <i x="281" s="1"/>
        <i x="211" s="1"/>
        <i x="93" s="1"/>
        <i x="103" s="1"/>
        <i x="156" s="1"/>
        <i x="252" s="1"/>
        <i x="216" s="1"/>
        <i x="330" s="1"/>
        <i x="188" s="1"/>
        <i x="256" s="1"/>
        <i x="247" s="1"/>
        <i x="119" s="1"/>
        <i x="193" s="1"/>
        <i x="77" s="1"/>
        <i x="8" s="1"/>
        <i x="144" s="1"/>
        <i x="325" s="1"/>
        <i x="166" s="1"/>
        <i x="297" s="1"/>
        <i x="335" s="1"/>
        <i x="170" s="1"/>
        <i x="286" s="1"/>
        <i x="309" s="1"/>
        <i x="289" s="1"/>
        <i x="338" s="1"/>
        <i x="94" s="1"/>
        <i x="15" s="1"/>
        <i x="123" s="1"/>
        <i x="214" s="1"/>
        <i x="329" s="1"/>
        <i x="137" s="1"/>
        <i x="299" s="1"/>
        <i x="250" s="1"/>
        <i x="160" s="1"/>
        <i x="267" s="1"/>
        <i x="239" s="1"/>
        <i x="228" s="1"/>
        <i x="307" s="1"/>
        <i x="278" s="1"/>
        <i x="238" s="1"/>
        <i x="155" s="1"/>
        <i x="320" s="1"/>
        <i x="55" s="1"/>
        <i x="241" s="1"/>
        <i x="131" s="1"/>
        <i x="317" s="1"/>
        <i x="0" s="1"/>
        <i x="81" s="1"/>
        <i x="249" s="1"/>
        <i x="75" s="1"/>
        <i x="12" s="1"/>
        <i x="186" s="1"/>
        <i x="191" s="1"/>
        <i x="220" s="1"/>
        <i x="128" s="1"/>
        <i x="304" s="1"/>
        <i x="3" s="1"/>
        <i x="41" s="1"/>
        <i x="76" s="1"/>
        <i x="182" s="1"/>
        <i x="327" s="1"/>
        <i x="133" s="1"/>
        <i x="279" s="1"/>
        <i x="163" s="1"/>
        <i x="54" s="1"/>
        <i x="85" s="1"/>
        <i x="203" s="1"/>
        <i x="157" s="1"/>
        <i x="124" s="1"/>
        <i x="161" s="1"/>
        <i x="274" s="1"/>
        <i x="51" s="1"/>
        <i x="126" s="1"/>
        <i x="275" s="1"/>
        <i x="324" s="1"/>
        <i x="117" s="1"/>
        <i x="167" s="1"/>
        <i x="263" s="1"/>
        <i x="39" s="1"/>
        <i x="251" s="1"/>
        <i x="153" s="1"/>
        <i x="17" s="1"/>
        <i x="141" s="1"/>
        <i x="69" s="1"/>
        <i x="46" s="1"/>
        <i x="145" s="1"/>
        <i x="261" s="1"/>
        <i x="257" s="1"/>
        <i x="189" s="1"/>
        <i x="142" s="1"/>
        <i x="7" s="1"/>
        <i x="127" s="1"/>
        <i x="70" s="1"/>
        <i x="284" s="1"/>
        <i x="227" s="1"/>
        <i x="301" s="1"/>
        <i x="277" s="1"/>
        <i x="332" s="1"/>
        <i x="254" s="1"/>
        <i x="33" s="1"/>
        <i x="59" s="1"/>
        <i x="136" s="1"/>
        <i x="223" s="1"/>
        <i x="302" s="1"/>
        <i x="92" s="1"/>
        <i x="295" s="1"/>
        <i x="135" s="1"/>
        <i x="190" s="1"/>
        <i x="288" s="1"/>
        <i x="82" s="1"/>
        <i x="207" s="1"/>
        <i x="176" s="1"/>
        <i x="303" s="1"/>
        <i x="66" s="1"/>
        <i x="101" s="1"/>
        <i x="282" s="1"/>
        <i x="67" s="1"/>
        <i x="106" s="1"/>
        <i x="60" s="1"/>
        <i x="273" s="1"/>
        <i x="139" s="1"/>
        <i x="73" s="1"/>
        <i x="187" s="1"/>
        <i x="174" s="1"/>
        <i x="244" s="1"/>
        <i x="222" s="1"/>
        <i x="200" s="1"/>
        <i x="44" s="1"/>
        <i x="9" s="1"/>
        <i x="16" s="1"/>
        <i x="152" s="1"/>
        <i x="19" s="1"/>
        <i x="180" s="1"/>
        <i x="88" s="1"/>
        <i x="154" s="1"/>
        <i x="177" s="1"/>
        <i x="125" s="1"/>
        <i x="172" s="1"/>
        <i x="198" s="1"/>
        <i x="84" s="1"/>
        <i x="272" s="1"/>
        <i x="280" s="1"/>
        <i x="109" s="1"/>
        <i x="74" s="1"/>
        <i x="326" s="1"/>
        <i x="230" s="1"/>
        <i x="150" s="1"/>
        <i x="168" s="1"/>
        <i x="185" s="1"/>
        <i x="291" s="1"/>
        <i x="158" s="1"/>
        <i x="204" s="1"/>
        <i x="283" s="1"/>
        <i x="178" s="1"/>
        <i x="336" s="1"/>
        <i x="87" s="1"/>
        <i x="132" s="1"/>
        <i x="328" s="1"/>
        <i x="38" s="1"/>
        <i x="28" s="1"/>
        <i x="121" s="1"/>
        <i x="138" s="1"/>
        <i x="68" s="1"/>
        <i x="105" s="1"/>
        <i x="63" s="1"/>
        <i x="98" s="1"/>
        <i x="5" s="1"/>
        <i x="56" s="1"/>
        <i x="315" s="1"/>
        <i x="208" s="1"/>
        <i x="290" s="1"/>
        <i x="29" s="1"/>
        <i x="20" s="1"/>
        <i x="72" s="1"/>
        <i x="95" s="1"/>
        <i x="114" s="1"/>
        <i x="50" s="1"/>
        <i x="300" s="1"/>
        <i x="287" s="1"/>
        <i x="130" s="1"/>
        <i x="175" s="1"/>
        <i x="116" s="1"/>
        <i x="58" s="1"/>
        <i x="245" s="1"/>
        <i x="149" s="1"/>
        <i x="183" s="1"/>
        <i x="171" s="1"/>
        <i x="232" s="1"/>
        <i x="43" s="1"/>
        <i x="337" s="1"/>
        <i x="165" s="1"/>
        <i x="90" s="1"/>
        <i x="306" s="1"/>
        <i x="42" s="1"/>
        <i x="23" s="1"/>
        <i x="57" s="1"/>
        <i x="212" s="1"/>
        <i x="151" s="1"/>
        <i x="62" s="1"/>
        <i x="217" s="1"/>
        <i x="64" s="1"/>
        <i x="269" s="1"/>
        <i x="271" s="1"/>
        <i x="159" s="1"/>
        <i x="322" s="1"/>
        <i x="310" s="1"/>
        <i x="268" s="1"/>
        <i x="258" s="1"/>
        <i x="13" s="1"/>
        <i x="314" s="1"/>
        <i x="285" s="1"/>
        <i x="296" s="1"/>
        <i x="169" s="1"/>
        <i x="21" s="1"/>
        <i x="231" s="1"/>
        <i x="305" s="1"/>
        <i x="10" s="1"/>
        <i x="108" s="1"/>
        <i x="237" s="1"/>
        <i x="36" s="1"/>
        <i x="80" s="1"/>
        <i x="102" s="1"/>
        <i x="65" s="1"/>
        <i x="78" s="1"/>
        <i x="311" s="1"/>
        <i x="235" s="1"/>
        <i x="24" s="1"/>
        <i x="164" s="1"/>
        <i x="11" s="1"/>
        <i x="97" s="1"/>
        <i x="22" s="1"/>
        <i x="115" s="1"/>
        <i x="96" s="1"/>
        <i x="333" s="1"/>
        <i x="147" s="1"/>
        <i x="34" s="1"/>
        <i x="260" s="1"/>
        <i x="294" s="1"/>
        <i x="120" s="1"/>
        <i x="205" s="1"/>
        <i x="35" s="1"/>
        <i x="265" s="1"/>
        <i x="25" s="1"/>
        <i x="143" s="1"/>
        <i x="318" s="1"/>
        <i x="118" s="1"/>
        <i x="18" s="1"/>
        <i x="316" s="1"/>
        <i x="14" s="1"/>
        <i x="215" s="1"/>
        <i x="266" s="1"/>
        <i x="52" s="1"/>
        <i x="4" s="1"/>
        <i x="331" s="1"/>
        <i x="32" s="1"/>
        <i x="45" s="1"/>
        <i x="255" s="1"/>
        <i x="112" s="1"/>
        <i x="270" s="1"/>
        <i x="104" s="1"/>
        <i x="107" s="1"/>
        <i x="83" s="1"/>
        <i x="276" s="1"/>
        <i x="319" s="1"/>
        <i x="100" s="1"/>
        <i x="99" s="1"/>
        <i x="40" s="1"/>
        <i x="179" s="1"/>
        <i x="233" s="1"/>
        <i x="293" s="1"/>
        <i x="6" s="1"/>
        <i x="321" s="1"/>
        <i x="197" s="1"/>
        <i x="71" s="1"/>
        <i x="195" s="1"/>
        <i x="219" s="1"/>
        <i x="262" s="1"/>
        <i x="242" s="1"/>
        <i x="79" s="1"/>
        <i x="240" s="1"/>
        <i x="49" s="1"/>
        <i x="199" s="1"/>
        <i x="61" s="1"/>
        <i x="226" s="1"/>
        <i x="53" s="1"/>
        <i x="209" s="1"/>
        <i x="221" s="1"/>
        <i x="248" s="1"/>
        <i x="122" s="1"/>
        <i x="224" s="1"/>
        <i x="298" s="1"/>
        <i x="86" s="1"/>
        <i x="234" s="1"/>
        <i x="37" s="1"/>
        <i x="213" s="1"/>
        <i x="246" s="1"/>
        <i x="113" s="1"/>
        <i x="30" s="1"/>
        <i x="313" s="1"/>
        <i x="206" s="1"/>
        <i x="194" s="1"/>
        <i x="264" s="1"/>
        <i x="48" s="1"/>
        <i x="31" s="1"/>
        <i x="111" s="1"/>
        <i x="201" s="1"/>
        <i x="27" s="1"/>
        <i x="229" s="1"/>
        <i x="162" s="1"/>
        <i x="225" s="1"/>
        <i x="292" s="1"/>
        <i x="47" s="1"/>
        <i x="173" s="1"/>
        <i x="184" s="1"/>
        <i x="218" s="1"/>
        <i x="253" s="1"/>
        <i x="1" s="1"/>
        <i x="148" s="1"/>
        <i x="134" s="1"/>
        <i x="196" s="1"/>
        <i x="146" s="1"/>
        <i x="236" s="1"/>
        <i x="91" s="1"/>
        <i x="312" s="1"/>
        <i x="18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lver_pool_target_borrowers" xr10:uid="{B2D830A6-1946-45DA-A211-36682C6ACE5C}" sourceName="Silver pool target borrowers">
  <pivotTables>
    <pivotTable tabId="2" name="PivotTable1"/>
    <pivotTable tabId="2" name="PivotTable2"/>
    <pivotTable tabId="2" name="PivotTable4"/>
    <pivotTable tabId="2" name="PivotTable6"/>
    <pivotTable tabId="2" name="PivotTable7"/>
    <pivotTable tabId="2" name="PivotTable9"/>
  </pivotTables>
  <data>
    <tabular pivotCacheId="195582620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lden_pool_target_borrowers" xr10:uid="{B6689FC9-87FD-48A7-A7AC-022D1FE39160}" sourceName="Golden pool target borrowers">
  <pivotTables>
    <pivotTable tabId="2" name="PivotTable1"/>
    <pivotTable tabId="2" name="PivotTable2"/>
    <pivotTable tabId="2" name="PivotTable4"/>
    <pivotTable tabId="2" name="PivotTable6"/>
    <pivotTable tabId="2" name="PivotTable7"/>
    <pivotTable tabId="2" name="PivotTable9"/>
  </pivotTables>
  <data>
    <tabular pivotCacheId="195582620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de Area Location Code" xr10:uid="{7E463ECC-7C41-4866-B0D4-CD684673B197}" cache="Slicer_Wide_Area_Location_Code" caption="Wide Area Location Code" rowHeight="234950"/>
  <slicer name="Minority range" xr10:uid="{F7D81F5B-E49B-4BFA-AFEE-75BCA99D6F2F}" cache="Slicer_Minority_range" caption="Minority range" rowHeight="234950"/>
  <slicer name="LTV" xr10:uid="{C39C24DA-F24E-4BD8-9050-B9C62ED4612A}" cache="Slicer_LTV" caption="LTV" rowHeight="234950"/>
  <slicer name="Silver pool target borrowers" xr10:uid="{36CB9F9E-4692-45D4-952A-4B74058A3647}" cache="Slicer_Silver_pool_target_borrowers" caption="Silver pool target borrowers" rowHeight="234950"/>
  <slicer name="Golden pool target borrowers" xr10:uid="{B0666553-553B-4FB2-ACEA-BB1C7C12EC82}" cache="Slicer_Golden_pool_target_borrowers" caption="Golden pool target borrowe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5D2E3-223E-4312-AFD6-C27A94F8613F}">
  <dimension ref="A1:AG507"/>
  <sheetViews>
    <sheetView topLeftCell="Y8" zoomScale="97" zoomScaleNormal="100" workbookViewId="0">
      <selection activeCell="AE23" sqref="AE23"/>
    </sheetView>
  </sheetViews>
  <sheetFormatPr defaultRowHeight="14.4"/>
  <cols>
    <col min="4" max="4" width="11.44140625" customWidth="1"/>
    <col min="5" max="5" width="17.6640625" customWidth="1"/>
    <col min="6" max="6" width="13.44140625" customWidth="1"/>
    <col min="8" max="8" width="11.33203125" customWidth="1"/>
    <col min="9" max="9" width="13.109375" customWidth="1"/>
    <col min="10" max="10" width="12.109375" customWidth="1"/>
    <col min="11" max="11" width="20" customWidth="1"/>
    <col min="12" max="12" width="12.88671875" customWidth="1"/>
    <col min="13" max="13" width="18.88671875" customWidth="1"/>
    <col min="14" max="14" width="11.33203125" bestFit="1" customWidth="1"/>
    <col min="15" max="16" width="9" bestFit="1" customWidth="1"/>
    <col min="17" max="17" width="9" customWidth="1"/>
    <col min="18" max="18" width="9" bestFit="1" customWidth="1"/>
    <col min="19" max="19" width="9.109375" bestFit="1" customWidth="1"/>
    <col min="20" max="20" width="20.44140625" customWidth="1"/>
    <col min="21" max="23" width="20.44140625" hidden="1" customWidth="1"/>
    <col min="24" max="24" width="32.88671875" customWidth="1"/>
    <col min="25" max="25" width="25.33203125" customWidth="1"/>
    <col min="26" max="26" width="32.21875" customWidth="1"/>
    <col min="27" max="27" width="24.33203125" bestFit="1" customWidth="1"/>
    <col min="28" max="28" width="36" customWidth="1"/>
    <col min="29" max="29" width="15.44140625" bestFit="1" customWidth="1"/>
    <col min="30" max="30" width="15.109375" bestFit="1" customWidth="1"/>
    <col min="31" max="31" width="15.44140625" bestFit="1" customWidth="1"/>
    <col min="32" max="32" width="15.109375" bestFit="1" customWidth="1"/>
    <col min="33" max="33" width="9" bestFit="1" customWidth="1"/>
  </cols>
  <sheetData>
    <row r="1" spans="1:29" ht="18">
      <c r="A1" s="1"/>
    </row>
    <row r="2" spans="1:29" ht="18">
      <c r="A2" s="1"/>
    </row>
    <row r="3" spans="1:29" ht="18">
      <c r="A3" s="1"/>
    </row>
    <row r="4" spans="1:29" ht="18">
      <c r="A4" s="1" t="s">
        <v>0</v>
      </c>
    </row>
    <row r="6" spans="1:29" ht="18" customHeight="1">
      <c r="B6" s="2" t="s">
        <v>1</v>
      </c>
      <c r="C6" s="3"/>
      <c r="D6" s="3"/>
      <c r="E6" s="4" t="s">
        <v>2</v>
      </c>
      <c r="F6" s="6"/>
      <c r="G6" s="5"/>
      <c r="H6" s="7" t="s">
        <v>3</v>
      </c>
      <c r="I6" s="8"/>
      <c r="J6" s="8"/>
      <c r="K6" s="8"/>
      <c r="L6" s="8"/>
      <c r="M6" s="8"/>
      <c r="N6" s="8"/>
      <c r="O6" s="8"/>
      <c r="P6" s="8"/>
      <c r="Q6" s="8"/>
      <c r="R6" s="8"/>
      <c r="S6" s="8"/>
      <c r="T6" s="8"/>
      <c r="U6" s="8"/>
      <c r="V6" s="8"/>
      <c r="W6" s="8"/>
    </row>
    <row r="7" spans="1:29" s="9" customFormat="1" ht="65.25" customHeight="1" thickBot="1">
      <c r="A7" s="9" t="s">
        <v>4</v>
      </c>
      <c r="B7" s="9" t="s">
        <v>5</v>
      </c>
      <c r="C7" s="9" t="s">
        <v>6</v>
      </c>
      <c r="D7" s="9" t="s">
        <v>7</v>
      </c>
      <c r="E7" s="9" t="s">
        <v>8</v>
      </c>
      <c r="F7" s="9" t="s">
        <v>64</v>
      </c>
      <c r="G7" s="9" t="s">
        <v>9</v>
      </c>
      <c r="H7" s="9" t="s">
        <v>10</v>
      </c>
      <c r="I7" s="9" t="s">
        <v>11</v>
      </c>
      <c r="J7" s="9" t="s">
        <v>12</v>
      </c>
      <c r="K7" s="9" t="s">
        <v>20</v>
      </c>
      <c r="L7" s="9" t="s">
        <v>30</v>
      </c>
      <c r="M7" s="9" t="s">
        <v>31</v>
      </c>
      <c r="N7" s="9" t="s">
        <v>33</v>
      </c>
      <c r="O7" s="9" t="s">
        <v>30</v>
      </c>
      <c r="P7" t="s">
        <v>35</v>
      </c>
      <c r="Q7" s="9" t="s">
        <v>12</v>
      </c>
      <c r="R7" s="9" t="s">
        <v>64</v>
      </c>
      <c r="S7" s="9" t="s">
        <v>67</v>
      </c>
      <c r="T7" s="9" t="s">
        <v>99</v>
      </c>
      <c r="U7" s="9" t="s">
        <v>30</v>
      </c>
      <c r="V7" t="s">
        <v>35</v>
      </c>
      <c r="W7" s="9" t="s">
        <v>64</v>
      </c>
    </row>
    <row r="8" spans="1:29">
      <c r="A8">
        <v>1</v>
      </c>
      <c r="B8">
        <v>53</v>
      </c>
      <c r="C8">
        <v>29.57</v>
      </c>
      <c r="D8">
        <v>91700</v>
      </c>
      <c r="E8">
        <v>123000</v>
      </c>
      <c r="F8">
        <v>0</v>
      </c>
      <c r="G8" t="s">
        <v>13</v>
      </c>
      <c r="H8">
        <v>385000</v>
      </c>
      <c r="I8">
        <v>195000</v>
      </c>
      <c r="J8">
        <v>360</v>
      </c>
      <c r="K8" t="str">
        <f t="shared" ref="K8:K71" si="0">IF(C8&gt;=50,"More than 50",IF(C8&gt;=40,"40-50",IF(C8&gt;=30,"30-40",IF(C8&gt;=20,"20-30",IF(C8&gt;=10,"10-20","0-10")))))</f>
        <v>20-30</v>
      </c>
      <c r="L8" s="13">
        <f t="shared" ref="L8:L71" si="1">(I8/H8)*100</f>
        <v>50.649350649350644</v>
      </c>
      <c r="M8" t="str">
        <f>IF(AND(L8&lt;=80,J8&lt;=180),"selected","not selected")</f>
        <v>not selected</v>
      </c>
      <c r="N8" t="str">
        <f>IF(AND(L8&lt;=80,E8&gt;=222400),"selected","not selected")</f>
        <v>not selected</v>
      </c>
      <c r="O8">
        <v>50.649350649350602</v>
      </c>
      <c r="P8">
        <v>27</v>
      </c>
      <c r="Q8">
        <v>360</v>
      </c>
      <c r="R8">
        <v>0</v>
      </c>
      <c r="S8">
        <v>3.97710830680133</v>
      </c>
      <c r="T8" t="str">
        <f>IF(L8&gt;=80,"More than 80%","Less than 80%")</f>
        <v>Less than 80%</v>
      </c>
      <c r="U8">
        <v>50.649350649350602</v>
      </c>
      <c r="V8">
        <v>27</v>
      </c>
      <c r="W8">
        <v>0</v>
      </c>
      <c r="Y8" s="25" t="s">
        <v>83</v>
      </c>
      <c r="Z8" s="26">
        <f>COUNTIF(L8:L507,"&lt;=80")</f>
        <v>371</v>
      </c>
      <c r="AA8" s="13"/>
      <c r="AB8" s="25" t="s">
        <v>87</v>
      </c>
      <c r="AC8" s="26">
        <f>COUNTIFS(C8:C507,"&gt;50",B8:B507,6)</f>
        <v>45</v>
      </c>
    </row>
    <row r="9" spans="1:29">
      <c r="A9">
        <v>2</v>
      </c>
      <c r="B9">
        <v>6</v>
      </c>
      <c r="C9">
        <v>90.76</v>
      </c>
      <c r="D9">
        <v>83300</v>
      </c>
      <c r="E9">
        <v>250000</v>
      </c>
      <c r="F9">
        <v>0</v>
      </c>
      <c r="G9" t="s">
        <v>13</v>
      </c>
      <c r="H9">
        <v>535000</v>
      </c>
      <c r="I9">
        <v>505000</v>
      </c>
      <c r="J9">
        <v>360</v>
      </c>
      <c r="K9" t="str">
        <f t="shared" si="0"/>
        <v>More than 50</v>
      </c>
      <c r="L9" s="13">
        <f t="shared" si="1"/>
        <v>94.392523364485982</v>
      </c>
      <c r="M9" t="str">
        <f t="shared" ref="M9:M72" si="2">IF(AND(L9&lt;=80,J9&lt;=180),"selected","not selected")</f>
        <v>not selected</v>
      </c>
      <c r="N9" t="str">
        <f t="shared" ref="N9:N72" si="3">IF(AND(L9&lt;=80,E9&gt;=222400),"selected","not selected")</f>
        <v>not selected</v>
      </c>
      <c r="O9">
        <v>94.392523364485982</v>
      </c>
      <c r="P9">
        <v>17</v>
      </c>
      <c r="Q9">
        <v>360</v>
      </c>
      <c r="R9">
        <v>0</v>
      </c>
      <c r="S9">
        <v>4.2665573473331158</v>
      </c>
      <c r="T9" t="str">
        <f t="shared" ref="T9:T72" si="4">IF(L9&gt;=80,"More than 80%","Less than 80%")</f>
        <v>More than 80%</v>
      </c>
      <c r="U9">
        <v>94.392523364485982</v>
      </c>
      <c r="V9">
        <v>17</v>
      </c>
      <c r="W9">
        <v>0</v>
      </c>
      <c r="Y9" s="27" t="s">
        <v>81</v>
      </c>
      <c r="Z9" s="28">
        <f>COUNT(L8:L507)</f>
        <v>500</v>
      </c>
      <c r="AB9" s="27" t="s">
        <v>88</v>
      </c>
      <c r="AC9" s="28">
        <f>COUNTIF(C8:C507,"&gt;50")</f>
        <v>85</v>
      </c>
    </row>
    <row r="10" spans="1:29" ht="15" thickBot="1">
      <c r="A10">
        <v>3</v>
      </c>
      <c r="B10">
        <v>34</v>
      </c>
      <c r="C10">
        <v>64.19</v>
      </c>
      <c r="D10">
        <v>96500</v>
      </c>
      <c r="E10">
        <v>64000</v>
      </c>
      <c r="F10">
        <v>0</v>
      </c>
      <c r="G10" t="s">
        <v>13</v>
      </c>
      <c r="H10">
        <v>375000</v>
      </c>
      <c r="I10">
        <v>105000</v>
      </c>
      <c r="J10">
        <v>180</v>
      </c>
      <c r="K10" t="str">
        <f t="shared" si="0"/>
        <v>More than 50</v>
      </c>
      <c r="L10" s="13">
        <f t="shared" si="1"/>
        <v>28.000000000000004</v>
      </c>
      <c r="M10" t="str">
        <f t="shared" si="2"/>
        <v>selected</v>
      </c>
      <c r="N10" t="str">
        <f t="shared" si="3"/>
        <v>not selected</v>
      </c>
      <c r="O10">
        <v>28.000000000000004</v>
      </c>
      <c r="P10">
        <v>16</v>
      </c>
      <c r="Q10">
        <v>180</v>
      </c>
      <c r="R10">
        <v>0</v>
      </c>
      <c r="S10">
        <v>4.5476992869435744</v>
      </c>
      <c r="T10" t="str">
        <f t="shared" si="4"/>
        <v>Less than 80%</v>
      </c>
      <c r="U10">
        <v>28.000000000000004</v>
      </c>
      <c r="V10">
        <v>16</v>
      </c>
      <c r="W10">
        <v>0</v>
      </c>
      <c r="Y10" s="29" t="s">
        <v>82</v>
      </c>
      <c r="Z10" s="32">
        <f>Z8/Z9</f>
        <v>0.74199999999999999</v>
      </c>
      <c r="AB10" s="29" t="s">
        <v>89</v>
      </c>
      <c r="AC10" s="32">
        <f>AC8/AC9</f>
        <v>0.52941176470588236</v>
      </c>
    </row>
    <row r="11" spans="1:29">
      <c r="A11">
        <v>4</v>
      </c>
      <c r="B11">
        <v>51</v>
      </c>
      <c r="C11">
        <v>34.58</v>
      </c>
      <c r="D11">
        <v>124900</v>
      </c>
      <c r="E11">
        <v>141000</v>
      </c>
      <c r="F11">
        <v>0</v>
      </c>
      <c r="G11" t="s">
        <v>13</v>
      </c>
      <c r="H11">
        <v>665000</v>
      </c>
      <c r="I11">
        <v>345000</v>
      </c>
      <c r="J11">
        <v>180</v>
      </c>
      <c r="K11" t="str">
        <f t="shared" si="0"/>
        <v>30-40</v>
      </c>
      <c r="L11" s="13">
        <f t="shared" si="1"/>
        <v>51.879699248120303</v>
      </c>
      <c r="M11" t="str">
        <f t="shared" si="2"/>
        <v>selected</v>
      </c>
      <c r="N11" t="str">
        <f t="shared" si="3"/>
        <v>not selected</v>
      </c>
      <c r="O11">
        <v>51.879699248120303</v>
      </c>
      <c r="P11">
        <v>14</v>
      </c>
      <c r="Q11">
        <v>180</v>
      </c>
      <c r="R11">
        <v>0</v>
      </c>
      <c r="S11">
        <v>4.5634247892997601</v>
      </c>
      <c r="T11" t="str">
        <f t="shared" si="4"/>
        <v>Less than 80%</v>
      </c>
      <c r="U11">
        <v>51.879699248120303</v>
      </c>
      <c r="V11">
        <v>14</v>
      </c>
      <c r="W11">
        <v>0</v>
      </c>
    </row>
    <row r="12" spans="1:29">
      <c r="A12">
        <v>5</v>
      </c>
      <c r="B12">
        <v>39</v>
      </c>
      <c r="C12">
        <v>17.93</v>
      </c>
      <c r="D12">
        <v>84600</v>
      </c>
      <c r="E12">
        <v>109000</v>
      </c>
      <c r="F12">
        <v>1</v>
      </c>
      <c r="G12" t="s">
        <v>13</v>
      </c>
      <c r="H12">
        <v>405000</v>
      </c>
      <c r="I12">
        <v>325000</v>
      </c>
      <c r="J12">
        <v>180</v>
      </c>
      <c r="K12" t="str">
        <f t="shared" si="0"/>
        <v>10-20</v>
      </c>
      <c r="L12" s="13">
        <f t="shared" si="1"/>
        <v>80.246913580246911</v>
      </c>
      <c r="M12" t="str">
        <f t="shared" si="2"/>
        <v>not selected</v>
      </c>
      <c r="N12" t="str">
        <f t="shared" si="3"/>
        <v>not selected</v>
      </c>
      <c r="O12">
        <v>80.246913580246911</v>
      </c>
      <c r="P12">
        <v>18</v>
      </c>
      <c r="Q12">
        <v>180</v>
      </c>
      <c r="R12">
        <v>1</v>
      </c>
      <c r="S12">
        <v>4.1439777595261136</v>
      </c>
      <c r="T12" t="str">
        <f t="shared" si="4"/>
        <v>More than 80%</v>
      </c>
      <c r="U12">
        <v>80.246913580246911</v>
      </c>
      <c r="V12">
        <v>18</v>
      </c>
      <c r="W12">
        <v>1</v>
      </c>
    </row>
    <row r="13" spans="1:29" ht="15" thickBot="1">
      <c r="A13">
        <v>6</v>
      </c>
      <c r="B13">
        <v>24</v>
      </c>
      <c r="C13">
        <v>29.18</v>
      </c>
      <c r="D13">
        <v>124900</v>
      </c>
      <c r="E13">
        <v>255000</v>
      </c>
      <c r="F13">
        <v>0</v>
      </c>
      <c r="G13" t="s">
        <v>13</v>
      </c>
      <c r="H13">
        <v>905000</v>
      </c>
      <c r="I13">
        <v>645000</v>
      </c>
      <c r="J13">
        <v>360</v>
      </c>
      <c r="K13" t="str">
        <f t="shared" si="0"/>
        <v>20-30</v>
      </c>
      <c r="L13" s="13">
        <f t="shared" si="1"/>
        <v>71.270718232044189</v>
      </c>
      <c r="M13" t="str">
        <f t="shared" si="2"/>
        <v>not selected</v>
      </c>
      <c r="N13" t="str">
        <f t="shared" si="3"/>
        <v>selected</v>
      </c>
      <c r="O13">
        <v>71.270718232044189</v>
      </c>
      <c r="P13">
        <v>40</v>
      </c>
      <c r="Q13">
        <v>360</v>
      </c>
      <c r="R13">
        <v>0</v>
      </c>
      <c r="S13">
        <v>3.9138775192013733</v>
      </c>
      <c r="T13" t="str">
        <f t="shared" si="4"/>
        <v>Less than 80%</v>
      </c>
      <c r="U13">
        <v>71.270718232044189</v>
      </c>
      <c r="V13">
        <v>40</v>
      </c>
      <c r="W13">
        <v>0</v>
      </c>
    </row>
    <row r="14" spans="1:29" ht="15" thickBot="1">
      <c r="A14">
        <v>7</v>
      </c>
      <c r="B14">
        <v>8</v>
      </c>
      <c r="C14">
        <v>81.63</v>
      </c>
      <c r="D14">
        <v>100000</v>
      </c>
      <c r="E14">
        <v>145000</v>
      </c>
      <c r="F14">
        <v>1</v>
      </c>
      <c r="G14" t="s">
        <v>13</v>
      </c>
      <c r="H14">
        <v>475000</v>
      </c>
      <c r="I14">
        <v>395000</v>
      </c>
      <c r="J14">
        <v>180</v>
      </c>
      <c r="K14" t="str">
        <f t="shared" si="0"/>
        <v>More than 50</v>
      </c>
      <c r="L14" s="13">
        <f t="shared" si="1"/>
        <v>83.15789473684211</v>
      </c>
      <c r="M14" t="str">
        <f t="shared" si="2"/>
        <v>not selected</v>
      </c>
      <c r="N14" t="str">
        <f t="shared" si="3"/>
        <v>not selected</v>
      </c>
      <c r="O14">
        <v>83.15789473684211</v>
      </c>
      <c r="P14">
        <v>21</v>
      </c>
      <c r="Q14">
        <v>180</v>
      </c>
      <c r="R14">
        <v>1</v>
      </c>
      <c r="S14">
        <v>3.6143409898154979</v>
      </c>
      <c r="T14" t="str">
        <f t="shared" si="4"/>
        <v>More than 80%</v>
      </c>
      <c r="U14">
        <v>83.15789473684211</v>
      </c>
      <c r="V14">
        <v>21</v>
      </c>
      <c r="W14">
        <v>1</v>
      </c>
      <c r="Y14" s="25" t="s">
        <v>65</v>
      </c>
      <c r="Z14" s="26"/>
      <c r="AB14" s="42" t="s">
        <v>90</v>
      </c>
      <c r="AC14" s="43">
        <f>AVERAGE(S8:S507)</f>
        <v>4.6079210357366476</v>
      </c>
    </row>
    <row r="15" spans="1:29">
      <c r="A15">
        <v>8</v>
      </c>
      <c r="B15">
        <v>53</v>
      </c>
      <c r="C15">
        <v>39.06</v>
      </c>
      <c r="D15">
        <v>74600</v>
      </c>
      <c r="E15">
        <v>392000</v>
      </c>
      <c r="F15">
        <v>0</v>
      </c>
      <c r="G15" t="s">
        <v>13</v>
      </c>
      <c r="H15">
        <v>265000</v>
      </c>
      <c r="I15">
        <v>155000</v>
      </c>
      <c r="J15">
        <v>360</v>
      </c>
      <c r="K15" t="str">
        <f t="shared" si="0"/>
        <v>30-40</v>
      </c>
      <c r="L15" s="13">
        <f t="shared" si="1"/>
        <v>58.490566037735846</v>
      </c>
      <c r="M15" t="str">
        <f t="shared" si="2"/>
        <v>not selected</v>
      </c>
      <c r="N15" t="str">
        <f t="shared" si="3"/>
        <v>selected</v>
      </c>
      <c r="O15">
        <v>58.490566037735846</v>
      </c>
      <c r="P15">
        <v>20</v>
      </c>
      <c r="Q15">
        <v>360</v>
      </c>
      <c r="R15">
        <v>0</v>
      </c>
      <c r="S15">
        <v>4.8330735984263438</v>
      </c>
      <c r="T15" t="str">
        <f t="shared" si="4"/>
        <v>Less than 80%</v>
      </c>
      <c r="U15">
        <v>58.490566037735846</v>
      </c>
      <c r="V15">
        <v>20</v>
      </c>
      <c r="W15">
        <v>0</v>
      </c>
      <c r="Y15" s="27" t="s">
        <v>60</v>
      </c>
      <c r="Z15" s="28">
        <f>CORREL($S$8:$S$507,$O$8:$O$507)</f>
        <v>0.23479706022389357</v>
      </c>
    </row>
    <row r="16" spans="1:29" ht="15" thickBot="1">
      <c r="A16">
        <v>9</v>
      </c>
      <c r="B16">
        <v>36</v>
      </c>
      <c r="C16">
        <v>98.09</v>
      </c>
      <c r="D16">
        <v>96500</v>
      </c>
      <c r="E16">
        <v>58000</v>
      </c>
      <c r="F16">
        <v>0</v>
      </c>
      <c r="G16" t="s">
        <v>13</v>
      </c>
      <c r="H16">
        <v>455000</v>
      </c>
      <c r="I16">
        <v>185000</v>
      </c>
      <c r="J16">
        <v>180</v>
      </c>
      <c r="K16" t="str">
        <f t="shared" si="0"/>
        <v>More than 50</v>
      </c>
      <c r="L16" s="13">
        <f t="shared" si="1"/>
        <v>40.659340659340657</v>
      </c>
      <c r="M16" t="str">
        <f t="shared" si="2"/>
        <v>selected</v>
      </c>
      <c r="N16" t="str">
        <f t="shared" si="3"/>
        <v>not selected</v>
      </c>
      <c r="O16">
        <v>40.659340659340657</v>
      </c>
      <c r="P16">
        <v>38</v>
      </c>
      <c r="Q16">
        <v>180</v>
      </c>
      <c r="R16">
        <v>0</v>
      </c>
      <c r="S16">
        <v>4.3186403811677989</v>
      </c>
      <c r="T16" t="str">
        <f t="shared" si="4"/>
        <v>Less than 80%</v>
      </c>
      <c r="U16">
        <v>40.659340659340657</v>
      </c>
      <c r="V16">
        <v>38</v>
      </c>
      <c r="W16">
        <v>0</v>
      </c>
      <c r="Y16" s="27" t="s">
        <v>61</v>
      </c>
      <c r="Z16" s="28">
        <f>CORREL(S8:S507,$P$8:$P$507)</f>
        <v>0.34794691054601506</v>
      </c>
    </row>
    <row r="17" spans="1:29">
      <c r="A17">
        <v>10</v>
      </c>
      <c r="B17">
        <v>48</v>
      </c>
      <c r="C17">
        <v>41.47</v>
      </c>
      <c r="D17">
        <v>80000</v>
      </c>
      <c r="E17">
        <v>170000</v>
      </c>
      <c r="F17">
        <v>0</v>
      </c>
      <c r="G17" t="s">
        <v>13</v>
      </c>
      <c r="H17">
        <v>535000</v>
      </c>
      <c r="I17">
        <v>355000</v>
      </c>
      <c r="J17">
        <v>180</v>
      </c>
      <c r="K17" t="str">
        <f t="shared" si="0"/>
        <v>40-50</v>
      </c>
      <c r="L17" s="13">
        <f t="shared" si="1"/>
        <v>66.355140186915889</v>
      </c>
      <c r="M17" t="str">
        <f t="shared" si="2"/>
        <v>selected</v>
      </c>
      <c r="N17" t="str">
        <f t="shared" si="3"/>
        <v>not selected</v>
      </c>
      <c r="O17">
        <v>66.355140186915889</v>
      </c>
      <c r="P17">
        <v>27</v>
      </c>
      <c r="Q17">
        <v>180</v>
      </c>
      <c r="R17">
        <v>0</v>
      </c>
      <c r="S17">
        <v>4.4012412281791891</v>
      </c>
      <c r="T17" t="str">
        <f t="shared" si="4"/>
        <v>Less than 80%</v>
      </c>
      <c r="U17">
        <v>66.355140186915889</v>
      </c>
      <c r="V17">
        <v>27</v>
      </c>
      <c r="W17">
        <v>0</v>
      </c>
      <c r="Y17" s="27" t="s">
        <v>62</v>
      </c>
      <c r="Z17" s="28">
        <f>CORREL(S8:S507,$Q$8:$Q$507)</f>
        <v>0.16363818808673949</v>
      </c>
      <c r="AB17" s="36" t="s">
        <v>91</v>
      </c>
      <c r="AC17" s="37" t="s">
        <v>92</v>
      </c>
    </row>
    <row r="18" spans="1:29">
      <c r="A18">
        <v>11</v>
      </c>
      <c r="B18">
        <v>34</v>
      </c>
      <c r="C18">
        <v>40.18</v>
      </c>
      <c r="D18">
        <v>96500</v>
      </c>
      <c r="E18">
        <v>182000</v>
      </c>
      <c r="F18">
        <v>0</v>
      </c>
      <c r="G18" t="s">
        <v>13</v>
      </c>
      <c r="H18">
        <v>395000</v>
      </c>
      <c r="I18">
        <v>305000</v>
      </c>
      <c r="J18">
        <v>180</v>
      </c>
      <c r="K18" t="str">
        <f t="shared" si="0"/>
        <v>40-50</v>
      </c>
      <c r="L18" s="13">
        <f t="shared" si="1"/>
        <v>77.215189873417728</v>
      </c>
      <c r="M18" t="str">
        <f t="shared" si="2"/>
        <v>selected</v>
      </c>
      <c r="N18" t="str">
        <f t="shared" si="3"/>
        <v>not selected</v>
      </c>
      <c r="O18">
        <v>77.215189873417728</v>
      </c>
      <c r="P18">
        <v>19</v>
      </c>
      <c r="Q18">
        <v>180</v>
      </c>
      <c r="R18">
        <v>0</v>
      </c>
      <c r="S18">
        <v>4.4200982226490666</v>
      </c>
      <c r="T18" t="str">
        <f t="shared" si="4"/>
        <v>Less than 80%</v>
      </c>
      <c r="U18">
        <v>77.215189873417728</v>
      </c>
      <c r="V18">
        <v>19</v>
      </c>
      <c r="W18">
        <v>0</v>
      </c>
      <c r="Y18" s="27" t="s">
        <v>63</v>
      </c>
      <c r="Z18" s="28">
        <f>CORREL($S$8:$S$507,$R$8:$R$507)</f>
        <v>0.20285053494710703</v>
      </c>
      <c r="AB18" s="38" t="s">
        <v>93</v>
      </c>
      <c r="AC18" s="39">
        <f>AVERAGEIF($R$8:$R$507,0,$S$8:$S$507)</f>
        <v>4.5615070879616608</v>
      </c>
    </row>
    <row r="19" spans="1:29" ht="15" thickBot="1">
      <c r="A19">
        <v>12</v>
      </c>
      <c r="B19">
        <v>25</v>
      </c>
      <c r="C19">
        <v>41.27</v>
      </c>
      <c r="D19">
        <v>114000</v>
      </c>
      <c r="E19">
        <v>64000</v>
      </c>
      <c r="F19">
        <v>0</v>
      </c>
      <c r="G19" t="s">
        <v>13</v>
      </c>
      <c r="H19">
        <v>465000</v>
      </c>
      <c r="I19">
        <v>365000</v>
      </c>
      <c r="J19">
        <v>360</v>
      </c>
      <c r="K19" t="str">
        <f t="shared" si="0"/>
        <v>40-50</v>
      </c>
      <c r="L19" s="13">
        <f t="shared" si="1"/>
        <v>78.494623655913969</v>
      </c>
      <c r="M19" t="str">
        <f t="shared" si="2"/>
        <v>not selected</v>
      </c>
      <c r="N19" t="str">
        <f t="shared" si="3"/>
        <v>not selected</v>
      </c>
      <c r="O19">
        <v>78.494623655913969</v>
      </c>
      <c r="P19">
        <v>18</v>
      </c>
      <c r="Q19">
        <v>360</v>
      </c>
      <c r="R19">
        <v>0</v>
      </c>
      <c r="S19">
        <v>4.3858392178085222</v>
      </c>
      <c r="T19" t="str">
        <f t="shared" si="4"/>
        <v>Less than 80%</v>
      </c>
      <c r="U19">
        <v>78.494623655913969</v>
      </c>
      <c r="V19">
        <v>18</v>
      </c>
      <c r="W19">
        <v>0</v>
      </c>
      <c r="Y19" s="29" t="s">
        <v>66</v>
      </c>
      <c r="Z19" s="30">
        <f>CORREL($S$8:$S$507,$E$8:$E$507)</f>
        <v>-2.8498872334573155E-2</v>
      </c>
      <c r="AB19" s="40" t="s">
        <v>94</v>
      </c>
      <c r="AC19" s="41">
        <f>AVERAGEIF($R$8:$R$507,1,$S$8:$S$507)</f>
        <v>4.9759173359526132</v>
      </c>
    </row>
    <row r="20" spans="1:29">
      <c r="A20">
        <v>13</v>
      </c>
      <c r="B20">
        <v>6</v>
      </c>
      <c r="C20">
        <v>84.75</v>
      </c>
      <c r="D20">
        <v>127900</v>
      </c>
      <c r="E20">
        <v>88000</v>
      </c>
      <c r="F20">
        <v>0</v>
      </c>
      <c r="G20" t="s">
        <v>13</v>
      </c>
      <c r="H20">
        <v>755000</v>
      </c>
      <c r="I20">
        <v>385000</v>
      </c>
      <c r="J20">
        <v>360</v>
      </c>
      <c r="K20" t="str">
        <f t="shared" si="0"/>
        <v>More than 50</v>
      </c>
      <c r="L20" s="13">
        <f t="shared" si="1"/>
        <v>50.993377483443716</v>
      </c>
      <c r="M20" t="str">
        <f t="shared" si="2"/>
        <v>not selected</v>
      </c>
      <c r="N20" t="str">
        <f t="shared" si="3"/>
        <v>not selected</v>
      </c>
      <c r="O20">
        <v>50.993377483443716</v>
      </c>
      <c r="P20">
        <v>38</v>
      </c>
      <c r="Q20">
        <v>360</v>
      </c>
      <c r="R20">
        <v>0</v>
      </c>
      <c r="S20">
        <v>4.7420221242895124</v>
      </c>
      <c r="T20" t="str">
        <f t="shared" si="4"/>
        <v>Less than 80%</v>
      </c>
      <c r="U20">
        <v>50.993377483443716</v>
      </c>
      <c r="V20">
        <v>38</v>
      </c>
      <c r="W20">
        <v>0</v>
      </c>
    </row>
    <row r="21" spans="1:29">
      <c r="A21">
        <v>14</v>
      </c>
      <c r="B21">
        <v>26</v>
      </c>
      <c r="C21">
        <v>33.01</v>
      </c>
      <c r="D21">
        <v>79700</v>
      </c>
      <c r="E21">
        <v>593000</v>
      </c>
      <c r="F21">
        <v>0</v>
      </c>
      <c r="G21" t="s">
        <v>13</v>
      </c>
      <c r="H21">
        <v>545000</v>
      </c>
      <c r="I21">
        <v>415000</v>
      </c>
      <c r="J21">
        <v>360</v>
      </c>
      <c r="K21" t="str">
        <f t="shared" si="0"/>
        <v>30-40</v>
      </c>
      <c r="L21" s="13">
        <f t="shared" si="1"/>
        <v>76.146788990825684</v>
      </c>
      <c r="M21" t="str">
        <f t="shared" si="2"/>
        <v>not selected</v>
      </c>
      <c r="N21" t="str">
        <f t="shared" si="3"/>
        <v>selected</v>
      </c>
      <c r="O21">
        <v>76.146788990825684</v>
      </c>
      <c r="P21">
        <v>19</v>
      </c>
      <c r="Q21">
        <v>360</v>
      </c>
      <c r="R21">
        <v>0</v>
      </c>
      <c r="S21">
        <v>4.919248671961947</v>
      </c>
      <c r="T21" t="str">
        <f t="shared" si="4"/>
        <v>Less than 80%</v>
      </c>
      <c r="U21">
        <v>76.146788990825684</v>
      </c>
      <c r="V21">
        <v>19</v>
      </c>
      <c r="W21">
        <v>0</v>
      </c>
    </row>
    <row r="22" spans="1:29">
      <c r="A22">
        <v>15</v>
      </c>
      <c r="B22">
        <v>6</v>
      </c>
      <c r="C22">
        <v>34.799999999999997</v>
      </c>
      <c r="D22">
        <v>127900</v>
      </c>
      <c r="E22">
        <v>297000</v>
      </c>
      <c r="F22">
        <v>0</v>
      </c>
      <c r="G22" t="s">
        <v>13</v>
      </c>
      <c r="H22">
        <v>955000</v>
      </c>
      <c r="I22">
        <v>765000</v>
      </c>
      <c r="J22">
        <v>360</v>
      </c>
      <c r="K22" t="str">
        <f t="shared" si="0"/>
        <v>30-40</v>
      </c>
      <c r="L22" s="13">
        <f t="shared" si="1"/>
        <v>80.104712041884824</v>
      </c>
      <c r="M22" t="str">
        <f t="shared" si="2"/>
        <v>not selected</v>
      </c>
      <c r="N22" t="str">
        <f t="shared" si="3"/>
        <v>not selected</v>
      </c>
      <c r="O22">
        <v>80.104712041884824</v>
      </c>
      <c r="P22">
        <v>23</v>
      </c>
      <c r="Q22">
        <v>360</v>
      </c>
      <c r="R22">
        <v>0</v>
      </c>
      <c r="S22">
        <v>4.851403347298084</v>
      </c>
      <c r="T22" t="str">
        <f t="shared" si="4"/>
        <v>More than 80%</v>
      </c>
      <c r="U22">
        <v>80.104712041884824</v>
      </c>
      <c r="V22">
        <v>23</v>
      </c>
      <c r="W22">
        <v>0</v>
      </c>
    </row>
    <row r="23" spans="1:29" ht="15" thickBot="1">
      <c r="A23">
        <v>16</v>
      </c>
      <c r="B23">
        <v>24</v>
      </c>
      <c r="C23">
        <v>67.430000000000007</v>
      </c>
      <c r="D23">
        <v>104000</v>
      </c>
      <c r="E23">
        <v>204000</v>
      </c>
      <c r="F23">
        <v>0</v>
      </c>
      <c r="G23" t="s">
        <v>13</v>
      </c>
      <c r="H23">
        <v>385000</v>
      </c>
      <c r="I23">
        <v>175000</v>
      </c>
      <c r="J23">
        <v>180</v>
      </c>
      <c r="K23" t="str">
        <f t="shared" si="0"/>
        <v>More than 50</v>
      </c>
      <c r="L23" s="13">
        <f t="shared" si="1"/>
        <v>45.454545454545453</v>
      </c>
      <c r="M23" t="str">
        <f t="shared" si="2"/>
        <v>selected</v>
      </c>
      <c r="N23" t="str">
        <f t="shared" si="3"/>
        <v>not selected</v>
      </c>
      <c r="O23">
        <v>45.454545454545453</v>
      </c>
      <c r="P23">
        <v>45</v>
      </c>
      <c r="Q23">
        <v>180</v>
      </c>
      <c r="R23">
        <v>0</v>
      </c>
      <c r="S23">
        <v>4.1906857199318317</v>
      </c>
      <c r="T23" t="str">
        <f t="shared" si="4"/>
        <v>Less than 80%</v>
      </c>
      <c r="U23">
        <v>45.454545454545453</v>
      </c>
      <c r="V23">
        <v>45</v>
      </c>
      <c r="W23">
        <v>0</v>
      </c>
    </row>
    <row r="24" spans="1:29" ht="15" thickBot="1">
      <c r="A24">
        <v>17</v>
      </c>
      <c r="B24">
        <v>6</v>
      </c>
      <c r="C24">
        <v>33.31</v>
      </c>
      <c r="D24">
        <v>86700</v>
      </c>
      <c r="E24">
        <v>214000</v>
      </c>
      <c r="F24">
        <v>0</v>
      </c>
      <c r="G24" t="s">
        <v>13</v>
      </c>
      <c r="H24">
        <v>625000</v>
      </c>
      <c r="I24">
        <v>415000</v>
      </c>
      <c r="J24">
        <v>180</v>
      </c>
      <c r="K24" t="str">
        <f t="shared" si="0"/>
        <v>30-40</v>
      </c>
      <c r="L24" s="13">
        <f t="shared" si="1"/>
        <v>66.400000000000006</v>
      </c>
      <c r="M24" t="str">
        <f t="shared" si="2"/>
        <v>selected</v>
      </c>
      <c r="N24" t="str">
        <f t="shared" si="3"/>
        <v>not selected</v>
      </c>
      <c r="O24">
        <v>66.400000000000006</v>
      </c>
      <c r="P24">
        <v>28</v>
      </c>
      <c r="Q24">
        <v>180</v>
      </c>
      <c r="R24">
        <v>0</v>
      </c>
      <c r="S24">
        <v>3.8603923074642967</v>
      </c>
      <c r="T24" t="str">
        <f t="shared" si="4"/>
        <v>Less than 80%</v>
      </c>
      <c r="U24">
        <v>66.400000000000006</v>
      </c>
      <c r="V24">
        <v>28</v>
      </c>
      <c r="W24">
        <v>0</v>
      </c>
      <c r="Y24" s="42" t="s">
        <v>106</v>
      </c>
      <c r="Z24" s="43">
        <f>PERCENTILE(E8:E507,0.9)</f>
        <v>222400.00000000009</v>
      </c>
      <c r="AB24" s="25" t="s">
        <v>97</v>
      </c>
      <c r="AC24" s="26">
        <f>COUNTIF($M$8:$M$508,"selected")</f>
        <v>76</v>
      </c>
    </row>
    <row r="25" spans="1:29">
      <c r="A25">
        <v>18</v>
      </c>
      <c r="B25">
        <v>13</v>
      </c>
      <c r="C25">
        <v>53.46</v>
      </c>
      <c r="D25">
        <v>52400</v>
      </c>
      <c r="E25">
        <v>76000</v>
      </c>
      <c r="F25">
        <v>0</v>
      </c>
      <c r="G25" t="s">
        <v>13</v>
      </c>
      <c r="H25">
        <v>255000</v>
      </c>
      <c r="I25">
        <v>145000</v>
      </c>
      <c r="J25">
        <v>180</v>
      </c>
      <c r="K25" t="str">
        <f t="shared" si="0"/>
        <v>More than 50</v>
      </c>
      <c r="L25" s="13">
        <f t="shared" si="1"/>
        <v>56.862745098039213</v>
      </c>
      <c r="M25" t="str">
        <f t="shared" si="2"/>
        <v>selected</v>
      </c>
      <c r="N25" t="str">
        <f t="shared" si="3"/>
        <v>not selected</v>
      </c>
      <c r="O25">
        <v>56.862745098039213</v>
      </c>
      <c r="P25">
        <v>27</v>
      </c>
      <c r="Q25">
        <v>180</v>
      </c>
      <c r="R25">
        <v>0</v>
      </c>
      <c r="S25">
        <v>4.335085452342172</v>
      </c>
      <c r="T25" t="str">
        <f t="shared" si="4"/>
        <v>Less than 80%</v>
      </c>
      <c r="U25">
        <v>56.862745098039213</v>
      </c>
      <c r="V25">
        <v>27</v>
      </c>
      <c r="W25">
        <v>0</v>
      </c>
      <c r="AB25" s="27" t="s">
        <v>96</v>
      </c>
      <c r="AC25" s="28">
        <f>COUNTIF(N8:N507,"selected")</f>
        <v>41</v>
      </c>
    </row>
    <row r="26" spans="1:29">
      <c r="A26">
        <v>19</v>
      </c>
      <c r="B26">
        <v>24</v>
      </c>
      <c r="C26">
        <v>90.4</v>
      </c>
      <c r="D26">
        <v>124900</v>
      </c>
      <c r="E26">
        <v>287000</v>
      </c>
      <c r="F26">
        <v>0</v>
      </c>
      <c r="G26" t="s">
        <v>13</v>
      </c>
      <c r="H26">
        <v>595000</v>
      </c>
      <c r="I26">
        <v>475000</v>
      </c>
      <c r="J26">
        <v>360</v>
      </c>
      <c r="K26" t="str">
        <f t="shared" si="0"/>
        <v>More than 50</v>
      </c>
      <c r="L26" s="13">
        <f t="shared" si="1"/>
        <v>79.831932773109244</v>
      </c>
      <c r="M26" t="str">
        <f t="shared" si="2"/>
        <v>not selected</v>
      </c>
      <c r="N26" t="str">
        <f t="shared" si="3"/>
        <v>selected</v>
      </c>
      <c r="O26">
        <v>79.831932773109244</v>
      </c>
      <c r="P26">
        <v>29</v>
      </c>
      <c r="Q26">
        <v>360</v>
      </c>
      <c r="R26">
        <v>0</v>
      </c>
      <c r="S26">
        <v>4.065225638652187</v>
      </c>
      <c r="T26" t="str">
        <f t="shared" si="4"/>
        <v>Less than 80%</v>
      </c>
      <c r="U26">
        <v>79.831932773109244</v>
      </c>
      <c r="V26">
        <v>29</v>
      </c>
      <c r="W26">
        <v>0</v>
      </c>
      <c r="AB26" s="27" t="s">
        <v>110</v>
      </c>
      <c r="AC26" s="28">
        <f>COUNTIFS(M8:M507,"selected",N8:N507,"selected")</f>
        <v>8</v>
      </c>
    </row>
    <row r="27" spans="1:29" ht="15" thickBot="1">
      <c r="A27">
        <v>20</v>
      </c>
      <c r="B27">
        <v>6</v>
      </c>
      <c r="C27">
        <v>65.52</v>
      </c>
      <c r="D27">
        <v>75000</v>
      </c>
      <c r="E27">
        <v>352000</v>
      </c>
      <c r="F27">
        <v>0</v>
      </c>
      <c r="G27" t="s">
        <v>13</v>
      </c>
      <c r="H27">
        <v>755000</v>
      </c>
      <c r="I27">
        <v>505000</v>
      </c>
      <c r="J27">
        <v>360</v>
      </c>
      <c r="K27" t="str">
        <f t="shared" si="0"/>
        <v>More than 50</v>
      </c>
      <c r="L27" s="13">
        <f t="shared" si="1"/>
        <v>66.88741721854305</v>
      </c>
      <c r="M27" t="str">
        <f t="shared" si="2"/>
        <v>not selected</v>
      </c>
      <c r="N27" t="str">
        <f t="shared" si="3"/>
        <v>selected</v>
      </c>
      <c r="O27">
        <v>66.88741721854305</v>
      </c>
      <c r="P27">
        <v>15</v>
      </c>
      <c r="Q27">
        <v>360</v>
      </c>
      <c r="R27">
        <v>0</v>
      </c>
      <c r="S27">
        <v>4.2688484576273513</v>
      </c>
      <c r="T27" t="str">
        <f t="shared" si="4"/>
        <v>Less than 80%</v>
      </c>
      <c r="U27">
        <v>66.88741721854305</v>
      </c>
      <c r="V27">
        <v>15</v>
      </c>
      <c r="W27">
        <v>0</v>
      </c>
      <c r="AB27" s="29" t="s">
        <v>98</v>
      </c>
      <c r="AC27" s="30">
        <f>AC24+AC25-AC26</f>
        <v>109</v>
      </c>
    </row>
    <row r="28" spans="1:29">
      <c r="A28">
        <v>21</v>
      </c>
      <c r="B28">
        <v>48</v>
      </c>
      <c r="C28">
        <v>30.74</v>
      </c>
      <c r="D28">
        <v>84800</v>
      </c>
      <c r="E28">
        <v>229000</v>
      </c>
      <c r="F28">
        <v>0</v>
      </c>
      <c r="G28" t="s">
        <v>13</v>
      </c>
      <c r="H28">
        <v>215000</v>
      </c>
      <c r="I28">
        <v>155000</v>
      </c>
      <c r="J28">
        <v>360</v>
      </c>
      <c r="K28" t="str">
        <f t="shared" si="0"/>
        <v>30-40</v>
      </c>
      <c r="L28" s="13">
        <f t="shared" si="1"/>
        <v>72.093023255813947</v>
      </c>
      <c r="M28" t="str">
        <f t="shared" si="2"/>
        <v>not selected</v>
      </c>
      <c r="N28" t="str">
        <f t="shared" si="3"/>
        <v>selected</v>
      </c>
      <c r="O28">
        <v>72.093023255813947</v>
      </c>
      <c r="P28">
        <v>43</v>
      </c>
      <c r="Q28">
        <v>360</v>
      </c>
      <c r="R28">
        <v>0</v>
      </c>
      <c r="S28">
        <v>4.2914308925151268</v>
      </c>
      <c r="T28" t="str">
        <f t="shared" si="4"/>
        <v>Less than 80%</v>
      </c>
      <c r="U28">
        <v>72.093023255813947</v>
      </c>
      <c r="V28">
        <v>43</v>
      </c>
      <c r="W28">
        <v>0</v>
      </c>
    </row>
    <row r="29" spans="1:29">
      <c r="A29">
        <v>22</v>
      </c>
      <c r="B29">
        <v>49</v>
      </c>
      <c r="C29">
        <v>20.03</v>
      </c>
      <c r="D29">
        <v>85300</v>
      </c>
      <c r="E29">
        <v>93000</v>
      </c>
      <c r="F29">
        <v>0</v>
      </c>
      <c r="G29" t="s">
        <v>13</v>
      </c>
      <c r="H29">
        <v>305000</v>
      </c>
      <c r="I29">
        <v>235000</v>
      </c>
      <c r="J29">
        <v>360</v>
      </c>
      <c r="K29" t="str">
        <f t="shared" si="0"/>
        <v>20-30</v>
      </c>
      <c r="L29" s="13">
        <f t="shared" si="1"/>
        <v>77.049180327868854</v>
      </c>
      <c r="M29" t="str">
        <f t="shared" si="2"/>
        <v>not selected</v>
      </c>
      <c r="N29" t="str">
        <f t="shared" si="3"/>
        <v>not selected</v>
      </c>
      <c r="O29">
        <v>77.049180327868854</v>
      </c>
      <c r="P29">
        <v>29</v>
      </c>
      <c r="Q29">
        <v>360</v>
      </c>
      <c r="R29">
        <v>0</v>
      </c>
      <c r="S29">
        <v>4.3854445445538577</v>
      </c>
      <c r="T29" t="str">
        <f t="shared" si="4"/>
        <v>Less than 80%</v>
      </c>
      <c r="U29">
        <v>77.049180327868854</v>
      </c>
      <c r="V29">
        <v>29</v>
      </c>
      <c r="W29">
        <v>0</v>
      </c>
    </row>
    <row r="30" spans="1:29">
      <c r="A30">
        <v>23</v>
      </c>
      <c r="B30">
        <v>53</v>
      </c>
      <c r="C30">
        <v>33.07</v>
      </c>
      <c r="D30">
        <v>106900</v>
      </c>
      <c r="E30">
        <v>231000</v>
      </c>
      <c r="F30">
        <v>0</v>
      </c>
      <c r="G30" t="s">
        <v>13</v>
      </c>
      <c r="H30">
        <v>565000</v>
      </c>
      <c r="I30">
        <v>445000</v>
      </c>
      <c r="J30">
        <v>360</v>
      </c>
      <c r="K30" t="str">
        <f t="shared" si="0"/>
        <v>30-40</v>
      </c>
      <c r="L30" s="13">
        <f t="shared" si="1"/>
        <v>78.761061946902657</v>
      </c>
      <c r="M30" t="str">
        <f t="shared" si="2"/>
        <v>not selected</v>
      </c>
      <c r="N30" t="str">
        <f t="shared" si="3"/>
        <v>selected</v>
      </c>
      <c r="O30">
        <v>78.761061946902657</v>
      </c>
      <c r="P30">
        <v>15</v>
      </c>
      <c r="Q30">
        <v>360</v>
      </c>
      <c r="R30">
        <v>0</v>
      </c>
      <c r="S30">
        <v>4.6761646410870306</v>
      </c>
      <c r="T30" t="str">
        <f t="shared" si="4"/>
        <v>Less than 80%</v>
      </c>
      <c r="U30">
        <v>78.761061946902657</v>
      </c>
      <c r="V30">
        <v>15</v>
      </c>
      <c r="W30">
        <v>0</v>
      </c>
      <c r="Y30" s="23"/>
      <c r="Z30" s="23"/>
    </row>
    <row r="31" spans="1:29">
      <c r="A31">
        <v>24</v>
      </c>
      <c r="B31">
        <v>48</v>
      </c>
      <c r="C31">
        <v>21.69</v>
      </c>
      <c r="D31">
        <v>72200</v>
      </c>
      <c r="E31">
        <v>187000</v>
      </c>
      <c r="F31">
        <v>0</v>
      </c>
      <c r="G31" t="s">
        <v>13</v>
      </c>
      <c r="H31">
        <v>665000</v>
      </c>
      <c r="I31">
        <v>495000</v>
      </c>
      <c r="J31">
        <v>360</v>
      </c>
      <c r="K31" t="str">
        <f t="shared" si="0"/>
        <v>20-30</v>
      </c>
      <c r="L31" s="13">
        <f t="shared" si="1"/>
        <v>74.436090225563916</v>
      </c>
      <c r="M31" t="str">
        <f t="shared" si="2"/>
        <v>not selected</v>
      </c>
      <c r="N31" t="str">
        <f t="shared" si="3"/>
        <v>not selected</v>
      </c>
      <c r="O31">
        <v>74.436090225563916</v>
      </c>
      <c r="P31">
        <v>25</v>
      </c>
      <c r="Q31">
        <v>360</v>
      </c>
      <c r="R31">
        <v>0</v>
      </c>
      <c r="S31">
        <v>3.8365440253237555</v>
      </c>
      <c r="T31" t="str">
        <f t="shared" si="4"/>
        <v>Less than 80%</v>
      </c>
      <c r="U31">
        <v>74.436090225563916</v>
      </c>
      <c r="V31">
        <v>25</v>
      </c>
      <c r="W31">
        <v>0</v>
      </c>
    </row>
    <row r="32" spans="1:29">
      <c r="A32">
        <v>25</v>
      </c>
      <c r="B32">
        <v>8</v>
      </c>
      <c r="C32">
        <v>19.29</v>
      </c>
      <c r="D32">
        <v>99400</v>
      </c>
      <c r="E32">
        <v>108000</v>
      </c>
      <c r="F32">
        <v>0</v>
      </c>
      <c r="G32" t="s">
        <v>13</v>
      </c>
      <c r="H32">
        <v>555000</v>
      </c>
      <c r="I32">
        <v>435000</v>
      </c>
      <c r="J32">
        <v>360</v>
      </c>
      <c r="K32" t="str">
        <f t="shared" si="0"/>
        <v>10-20</v>
      </c>
      <c r="L32" s="13">
        <f t="shared" si="1"/>
        <v>78.378378378378372</v>
      </c>
      <c r="M32" t="str">
        <f t="shared" si="2"/>
        <v>not selected</v>
      </c>
      <c r="N32" t="str">
        <f t="shared" si="3"/>
        <v>not selected</v>
      </c>
      <c r="O32">
        <v>78.378378378378372</v>
      </c>
      <c r="P32">
        <v>17</v>
      </c>
      <c r="Q32">
        <v>360</v>
      </c>
      <c r="R32">
        <v>0</v>
      </c>
      <c r="S32">
        <v>4.6122789227551575</v>
      </c>
      <c r="T32" t="str">
        <f t="shared" si="4"/>
        <v>Less than 80%</v>
      </c>
      <c r="U32">
        <v>78.378378378378372</v>
      </c>
      <c r="V32">
        <v>17</v>
      </c>
      <c r="W32">
        <v>0</v>
      </c>
    </row>
    <row r="33" spans="1:33">
      <c r="A33">
        <v>26</v>
      </c>
      <c r="B33">
        <v>26</v>
      </c>
      <c r="C33">
        <v>8.94</v>
      </c>
      <c r="D33">
        <v>79000</v>
      </c>
      <c r="E33">
        <v>54000</v>
      </c>
      <c r="F33">
        <v>0</v>
      </c>
      <c r="G33" t="s">
        <v>13</v>
      </c>
      <c r="H33">
        <v>295000</v>
      </c>
      <c r="I33">
        <v>235000</v>
      </c>
      <c r="J33">
        <v>360</v>
      </c>
      <c r="K33" t="str">
        <f t="shared" si="0"/>
        <v>0-10</v>
      </c>
      <c r="L33" s="13">
        <f t="shared" si="1"/>
        <v>79.66101694915254</v>
      </c>
      <c r="M33" t="str">
        <f t="shared" si="2"/>
        <v>not selected</v>
      </c>
      <c r="N33" t="str">
        <f t="shared" si="3"/>
        <v>not selected</v>
      </c>
      <c r="O33">
        <v>79.66101694915254</v>
      </c>
      <c r="P33">
        <v>16</v>
      </c>
      <c r="Q33">
        <v>360</v>
      </c>
      <c r="R33">
        <v>0</v>
      </c>
      <c r="S33">
        <v>3.7285968423074998</v>
      </c>
      <c r="T33" t="str">
        <f t="shared" si="4"/>
        <v>Less than 80%</v>
      </c>
      <c r="U33">
        <v>79.66101694915254</v>
      </c>
      <c r="V33">
        <v>16</v>
      </c>
      <c r="W33">
        <v>0</v>
      </c>
    </row>
    <row r="34" spans="1:33">
      <c r="A34">
        <v>27</v>
      </c>
      <c r="B34">
        <v>26</v>
      </c>
      <c r="C34">
        <v>13.28</v>
      </c>
      <c r="D34">
        <v>79000</v>
      </c>
      <c r="E34">
        <v>26000</v>
      </c>
      <c r="F34">
        <v>0</v>
      </c>
      <c r="G34" t="s">
        <v>13</v>
      </c>
      <c r="H34">
        <v>165000</v>
      </c>
      <c r="I34">
        <v>35000</v>
      </c>
      <c r="J34">
        <v>360</v>
      </c>
      <c r="K34" t="str">
        <f t="shared" si="0"/>
        <v>10-20</v>
      </c>
      <c r="L34" s="13">
        <f t="shared" si="1"/>
        <v>21.212121212121211</v>
      </c>
      <c r="M34" t="str">
        <f t="shared" si="2"/>
        <v>not selected</v>
      </c>
      <c r="N34" t="str">
        <f t="shared" si="3"/>
        <v>not selected</v>
      </c>
      <c r="O34">
        <v>21.212121212121211</v>
      </c>
      <c r="P34">
        <v>24</v>
      </c>
      <c r="Q34">
        <v>360</v>
      </c>
      <c r="R34">
        <v>0</v>
      </c>
      <c r="S34">
        <v>3.2761775489326057</v>
      </c>
      <c r="T34" t="str">
        <f t="shared" si="4"/>
        <v>Less than 80%</v>
      </c>
      <c r="U34">
        <v>21.212121212121211</v>
      </c>
      <c r="V34">
        <v>24</v>
      </c>
      <c r="W34">
        <v>0</v>
      </c>
    </row>
    <row r="35" spans="1:33">
      <c r="A35">
        <v>28</v>
      </c>
      <c r="B35">
        <v>27</v>
      </c>
      <c r="C35">
        <v>12.25</v>
      </c>
      <c r="D35">
        <v>102800</v>
      </c>
      <c r="E35">
        <v>192000</v>
      </c>
      <c r="F35">
        <v>1</v>
      </c>
      <c r="G35" t="s">
        <v>13</v>
      </c>
      <c r="H35">
        <v>405000</v>
      </c>
      <c r="I35">
        <v>375000</v>
      </c>
      <c r="J35">
        <v>360</v>
      </c>
      <c r="K35" t="str">
        <f t="shared" si="0"/>
        <v>10-20</v>
      </c>
      <c r="L35" s="13">
        <f t="shared" si="1"/>
        <v>92.592592592592595</v>
      </c>
      <c r="M35" t="str">
        <f t="shared" si="2"/>
        <v>not selected</v>
      </c>
      <c r="N35" t="str">
        <f t="shared" si="3"/>
        <v>not selected</v>
      </c>
      <c r="O35">
        <v>92.592592592592595</v>
      </c>
      <c r="P35">
        <v>43</v>
      </c>
      <c r="Q35">
        <v>360</v>
      </c>
      <c r="R35">
        <v>1</v>
      </c>
      <c r="S35">
        <v>4.6378882895971527</v>
      </c>
      <c r="T35" t="str">
        <f t="shared" si="4"/>
        <v>More than 80%</v>
      </c>
      <c r="U35">
        <v>92.592592592592595</v>
      </c>
      <c r="V35">
        <v>43</v>
      </c>
      <c r="W35">
        <v>1</v>
      </c>
    </row>
    <row r="36" spans="1:33">
      <c r="A36">
        <v>29</v>
      </c>
      <c r="B36">
        <v>5</v>
      </c>
      <c r="C36">
        <v>23.23</v>
      </c>
      <c r="D36">
        <v>71400</v>
      </c>
      <c r="E36">
        <v>103000</v>
      </c>
      <c r="F36">
        <v>0</v>
      </c>
      <c r="G36" t="s">
        <v>13</v>
      </c>
      <c r="H36">
        <v>305000</v>
      </c>
      <c r="I36">
        <v>215000</v>
      </c>
      <c r="J36">
        <v>240</v>
      </c>
      <c r="K36" t="str">
        <f t="shared" si="0"/>
        <v>20-30</v>
      </c>
      <c r="L36" s="13">
        <f t="shared" si="1"/>
        <v>70.491803278688522</v>
      </c>
      <c r="M36" t="str">
        <f t="shared" si="2"/>
        <v>not selected</v>
      </c>
      <c r="N36" t="str">
        <f t="shared" si="3"/>
        <v>not selected</v>
      </c>
      <c r="O36">
        <v>70.491803278688522</v>
      </c>
      <c r="P36">
        <v>29</v>
      </c>
      <c r="Q36">
        <v>240</v>
      </c>
      <c r="R36">
        <v>0</v>
      </c>
      <c r="S36">
        <v>4.7213897262510667</v>
      </c>
      <c r="T36" t="str">
        <f t="shared" si="4"/>
        <v>Less than 80%</v>
      </c>
      <c r="U36">
        <v>70.491803278688522</v>
      </c>
      <c r="V36">
        <v>29</v>
      </c>
      <c r="W36">
        <v>0</v>
      </c>
    </row>
    <row r="37" spans="1:33">
      <c r="A37">
        <v>30</v>
      </c>
      <c r="B37">
        <v>41</v>
      </c>
      <c r="C37">
        <v>13.88</v>
      </c>
      <c r="D37">
        <v>72200</v>
      </c>
      <c r="E37">
        <v>171000</v>
      </c>
      <c r="F37">
        <v>0</v>
      </c>
      <c r="G37" t="s">
        <v>13</v>
      </c>
      <c r="H37">
        <v>715000</v>
      </c>
      <c r="I37">
        <v>515000</v>
      </c>
      <c r="J37">
        <v>360</v>
      </c>
      <c r="K37" t="str">
        <f t="shared" si="0"/>
        <v>10-20</v>
      </c>
      <c r="L37" s="13">
        <f t="shared" si="1"/>
        <v>72.027972027972027</v>
      </c>
      <c r="M37" t="str">
        <f t="shared" si="2"/>
        <v>not selected</v>
      </c>
      <c r="N37" t="str">
        <f t="shared" si="3"/>
        <v>not selected</v>
      </c>
      <c r="O37">
        <v>72.027972027972027</v>
      </c>
      <c r="P37">
        <v>28</v>
      </c>
      <c r="Q37">
        <v>360</v>
      </c>
      <c r="R37">
        <v>0</v>
      </c>
      <c r="S37">
        <v>3.710739887502716</v>
      </c>
      <c r="T37" t="str">
        <f t="shared" si="4"/>
        <v>Less than 80%</v>
      </c>
      <c r="U37">
        <v>72.027972027972027</v>
      </c>
      <c r="V37">
        <v>28</v>
      </c>
      <c r="W37">
        <v>0</v>
      </c>
    </row>
    <row r="38" spans="1:33">
      <c r="A38">
        <v>31</v>
      </c>
      <c r="B38">
        <v>44</v>
      </c>
      <c r="C38">
        <v>4.2300000000000004</v>
      </c>
      <c r="D38">
        <v>89000</v>
      </c>
      <c r="E38">
        <v>76000</v>
      </c>
      <c r="F38">
        <v>1</v>
      </c>
      <c r="G38" t="s">
        <v>13</v>
      </c>
      <c r="H38">
        <v>315000</v>
      </c>
      <c r="I38">
        <v>285000</v>
      </c>
      <c r="J38">
        <v>360</v>
      </c>
      <c r="K38" t="str">
        <f t="shared" si="0"/>
        <v>0-10</v>
      </c>
      <c r="L38" s="13">
        <f t="shared" si="1"/>
        <v>90.476190476190482</v>
      </c>
      <c r="M38" t="str">
        <f t="shared" si="2"/>
        <v>not selected</v>
      </c>
      <c r="N38" t="str">
        <f t="shared" si="3"/>
        <v>not selected</v>
      </c>
      <c r="O38">
        <v>90.476190476190482</v>
      </c>
      <c r="P38">
        <v>17</v>
      </c>
      <c r="Q38">
        <v>360</v>
      </c>
      <c r="R38">
        <v>1</v>
      </c>
      <c r="S38">
        <v>5.2642577249176199</v>
      </c>
      <c r="T38" t="str">
        <f t="shared" si="4"/>
        <v>More than 80%</v>
      </c>
      <c r="U38">
        <v>90.476190476190482</v>
      </c>
      <c r="V38">
        <v>17</v>
      </c>
      <c r="W38">
        <v>1</v>
      </c>
      <c r="Y38" s="24"/>
      <c r="Z38" s="24"/>
      <c r="AA38" s="24"/>
      <c r="AB38" s="24"/>
      <c r="AC38" s="24"/>
      <c r="AD38" s="24"/>
    </row>
    <row r="39" spans="1:33">
      <c r="A39">
        <v>32</v>
      </c>
      <c r="B39">
        <v>8</v>
      </c>
      <c r="C39">
        <v>12.14</v>
      </c>
      <c r="D39">
        <v>83600</v>
      </c>
      <c r="E39">
        <v>122000</v>
      </c>
      <c r="F39">
        <v>0</v>
      </c>
      <c r="G39" t="s">
        <v>13</v>
      </c>
      <c r="H39">
        <v>375000</v>
      </c>
      <c r="I39">
        <v>345000</v>
      </c>
      <c r="J39">
        <v>360</v>
      </c>
      <c r="K39" t="str">
        <f t="shared" si="0"/>
        <v>10-20</v>
      </c>
      <c r="L39" s="13">
        <f t="shared" si="1"/>
        <v>92</v>
      </c>
      <c r="M39" t="str">
        <f t="shared" si="2"/>
        <v>not selected</v>
      </c>
      <c r="N39" t="str">
        <f t="shared" si="3"/>
        <v>not selected</v>
      </c>
      <c r="O39">
        <v>92</v>
      </c>
      <c r="P39">
        <v>45</v>
      </c>
      <c r="Q39">
        <v>360</v>
      </c>
      <c r="R39">
        <v>0</v>
      </c>
      <c r="S39">
        <v>4.8916734226099692</v>
      </c>
      <c r="T39" t="str">
        <f t="shared" si="4"/>
        <v>More than 80%</v>
      </c>
      <c r="U39">
        <v>92</v>
      </c>
      <c r="V39">
        <v>45</v>
      </c>
      <c r="W39">
        <v>0</v>
      </c>
    </row>
    <row r="40" spans="1:33">
      <c r="A40">
        <v>33</v>
      </c>
      <c r="B40">
        <v>8</v>
      </c>
      <c r="C40">
        <v>35.729999999999997</v>
      </c>
      <c r="D40">
        <v>81700</v>
      </c>
      <c r="E40">
        <v>102000</v>
      </c>
      <c r="F40">
        <v>0</v>
      </c>
      <c r="G40" t="s">
        <v>13</v>
      </c>
      <c r="H40">
        <v>305000</v>
      </c>
      <c r="I40">
        <v>245000</v>
      </c>
      <c r="J40">
        <v>360</v>
      </c>
      <c r="K40" t="str">
        <f t="shared" si="0"/>
        <v>30-40</v>
      </c>
      <c r="L40" s="13">
        <f t="shared" si="1"/>
        <v>80.327868852459019</v>
      </c>
      <c r="M40" t="str">
        <f t="shared" si="2"/>
        <v>not selected</v>
      </c>
      <c r="N40" t="str">
        <f t="shared" si="3"/>
        <v>not selected</v>
      </c>
      <c r="O40">
        <v>80.327868852459019</v>
      </c>
      <c r="P40">
        <v>18</v>
      </c>
      <c r="Q40">
        <v>360</v>
      </c>
      <c r="R40">
        <v>0</v>
      </c>
      <c r="S40">
        <v>3.7801924977098058</v>
      </c>
      <c r="T40" t="str">
        <f t="shared" si="4"/>
        <v>More than 80%</v>
      </c>
      <c r="U40">
        <v>80.327868852459019</v>
      </c>
      <c r="V40">
        <v>18</v>
      </c>
      <c r="W40">
        <v>0</v>
      </c>
    </row>
    <row r="41" spans="1:33">
      <c r="A41">
        <v>34</v>
      </c>
      <c r="B41">
        <v>29</v>
      </c>
      <c r="C41">
        <v>4.96</v>
      </c>
      <c r="D41">
        <v>82600</v>
      </c>
      <c r="E41">
        <v>196000</v>
      </c>
      <c r="F41">
        <v>1</v>
      </c>
      <c r="G41" t="s">
        <v>13</v>
      </c>
      <c r="H41">
        <v>405000</v>
      </c>
      <c r="I41">
        <v>245000</v>
      </c>
      <c r="J41">
        <v>360</v>
      </c>
      <c r="K41" t="str">
        <f t="shared" si="0"/>
        <v>0-10</v>
      </c>
      <c r="L41" s="13">
        <f t="shared" si="1"/>
        <v>60.493827160493829</v>
      </c>
      <c r="M41" t="str">
        <f t="shared" si="2"/>
        <v>not selected</v>
      </c>
      <c r="N41" t="str">
        <f t="shared" si="3"/>
        <v>not selected</v>
      </c>
      <c r="O41">
        <v>60.493827160493829</v>
      </c>
      <c r="P41">
        <v>26</v>
      </c>
      <c r="Q41">
        <v>360</v>
      </c>
      <c r="R41">
        <v>1</v>
      </c>
      <c r="S41">
        <v>4.1052728124021804</v>
      </c>
      <c r="T41" t="str">
        <f t="shared" si="4"/>
        <v>Less than 80%</v>
      </c>
      <c r="U41">
        <v>60.493827160493829</v>
      </c>
      <c r="V41">
        <v>26</v>
      </c>
      <c r="W41">
        <v>1</v>
      </c>
    </row>
    <row r="42" spans="1:33">
      <c r="A42">
        <v>35</v>
      </c>
      <c r="B42">
        <v>6</v>
      </c>
      <c r="C42">
        <v>76.77</v>
      </c>
      <c r="D42">
        <v>92700</v>
      </c>
      <c r="E42">
        <v>91000</v>
      </c>
      <c r="F42">
        <v>0</v>
      </c>
      <c r="G42" t="s">
        <v>13</v>
      </c>
      <c r="H42">
        <v>575000</v>
      </c>
      <c r="I42">
        <v>455000</v>
      </c>
      <c r="J42">
        <v>360</v>
      </c>
      <c r="K42" t="str">
        <f t="shared" si="0"/>
        <v>More than 50</v>
      </c>
      <c r="L42" s="13">
        <f t="shared" si="1"/>
        <v>79.130434782608688</v>
      </c>
      <c r="M42" t="str">
        <f t="shared" si="2"/>
        <v>not selected</v>
      </c>
      <c r="N42" t="str">
        <f t="shared" si="3"/>
        <v>not selected</v>
      </c>
      <c r="O42">
        <v>79.130434782608688</v>
      </c>
      <c r="P42">
        <v>20</v>
      </c>
      <c r="Q42">
        <v>360</v>
      </c>
      <c r="R42">
        <v>0</v>
      </c>
      <c r="S42">
        <v>4.2699450376932857</v>
      </c>
      <c r="T42" t="str">
        <f t="shared" si="4"/>
        <v>Less than 80%</v>
      </c>
      <c r="U42">
        <v>79.130434782608688</v>
      </c>
      <c r="V42">
        <v>20</v>
      </c>
      <c r="W42">
        <v>0</v>
      </c>
    </row>
    <row r="43" spans="1:33">
      <c r="A43">
        <v>36</v>
      </c>
      <c r="B43">
        <v>4</v>
      </c>
      <c r="C43">
        <v>20.04</v>
      </c>
      <c r="D43">
        <v>77800</v>
      </c>
      <c r="E43">
        <v>72000</v>
      </c>
      <c r="F43">
        <v>0</v>
      </c>
      <c r="G43" t="s">
        <v>13</v>
      </c>
      <c r="H43">
        <v>195000</v>
      </c>
      <c r="I43">
        <v>155000</v>
      </c>
      <c r="J43">
        <v>360</v>
      </c>
      <c r="K43" t="str">
        <f t="shared" si="0"/>
        <v>20-30</v>
      </c>
      <c r="L43" s="13">
        <f t="shared" si="1"/>
        <v>79.487179487179489</v>
      </c>
      <c r="M43" t="str">
        <f t="shared" si="2"/>
        <v>not selected</v>
      </c>
      <c r="N43" t="str">
        <f t="shared" si="3"/>
        <v>not selected</v>
      </c>
      <c r="O43">
        <v>79.487179487179489</v>
      </c>
      <c r="P43">
        <v>40</v>
      </c>
      <c r="Q43">
        <v>360</v>
      </c>
      <c r="R43">
        <v>0</v>
      </c>
      <c r="S43">
        <v>5.5774741625451618</v>
      </c>
      <c r="T43" t="str">
        <f t="shared" si="4"/>
        <v>Less than 80%</v>
      </c>
      <c r="U43">
        <v>79.487179487179489</v>
      </c>
      <c r="V43">
        <v>40</v>
      </c>
      <c r="W43">
        <v>0</v>
      </c>
      <c r="Y43" s="24"/>
      <c r="Z43" s="24"/>
      <c r="AA43" s="24"/>
      <c r="AB43" s="24"/>
      <c r="AC43" s="24"/>
      <c r="AD43" s="24"/>
      <c r="AE43" s="24"/>
      <c r="AF43" s="24"/>
      <c r="AG43" s="24"/>
    </row>
    <row r="44" spans="1:33">
      <c r="A44">
        <v>37</v>
      </c>
      <c r="B44">
        <v>48</v>
      </c>
      <c r="C44">
        <v>26.93</v>
      </c>
      <c r="D44">
        <v>80000</v>
      </c>
      <c r="E44">
        <v>232000</v>
      </c>
      <c r="F44">
        <v>0</v>
      </c>
      <c r="G44" t="s">
        <v>13</v>
      </c>
      <c r="H44">
        <v>445000</v>
      </c>
      <c r="I44">
        <v>345000</v>
      </c>
      <c r="J44">
        <v>180</v>
      </c>
      <c r="K44" t="str">
        <f t="shared" si="0"/>
        <v>20-30</v>
      </c>
      <c r="L44" s="13">
        <f t="shared" si="1"/>
        <v>77.528089887640448</v>
      </c>
      <c r="M44" t="str">
        <f t="shared" si="2"/>
        <v>selected</v>
      </c>
      <c r="N44" t="str">
        <f t="shared" si="3"/>
        <v>selected</v>
      </c>
      <c r="O44">
        <v>77.528089887640448</v>
      </c>
      <c r="P44">
        <v>35</v>
      </c>
      <c r="Q44">
        <v>180</v>
      </c>
      <c r="R44">
        <v>0</v>
      </c>
      <c r="S44">
        <v>5.5483238711825109</v>
      </c>
      <c r="T44" t="str">
        <f t="shared" si="4"/>
        <v>Less than 80%</v>
      </c>
      <c r="U44">
        <v>77.528089887640448</v>
      </c>
      <c r="V44">
        <v>35</v>
      </c>
      <c r="W44">
        <v>0</v>
      </c>
    </row>
    <row r="45" spans="1:33">
      <c r="A45">
        <v>38</v>
      </c>
      <c r="B45">
        <v>34</v>
      </c>
      <c r="C45">
        <v>25.02</v>
      </c>
      <c r="D45">
        <v>96600</v>
      </c>
      <c r="E45">
        <v>159000</v>
      </c>
      <c r="F45">
        <v>0</v>
      </c>
      <c r="G45" t="s">
        <v>13</v>
      </c>
      <c r="H45">
        <v>285000</v>
      </c>
      <c r="I45">
        <v>255000</v>
      </c>
      <c r="J45">
        <v>360</v>
      </c>
      <c r="K45" t="str">
        <f t="shared" si="0"/>
        <v>20-30</v>
      </c>
      <c r="L45" s="13">
        <f t="shared" si="1"/>
        <v>89.473684210526315</v>
      </c>
      <c r="M45" t="str">
        <f t="shared" si="2"/>
        <v>not selected</v>
      </c>
      <c r="N45" t="str">
        <f t="shared" si="3"/>
        <v>not selected</v>
      </c>
      <c r="O45">
        <v>89.473684210526315</v>
      </c>
      <c r="P45">
        <v>29</v>
      </c>
      <c r="Q45">
        <v>360</v>
      </c>
      <c r="R45">
        <v>0</v>
      </c>
      <c r="S45">
        <v>5.6883729994648604</v>
      </c>
      <c r="T45" t="str">
        <f t="shared" si="4"/>
        <v>More than 80%</v>
      </c>
      <c r="U45">
        <v>89.473684210526315</v>
      </c>
      <c r="V45">
        <v>29</v>
      </c>
      <c r="W45">
        <v>0</v>
      </c>
    </row>
    <row r="46" spans="1:33">
      <c r="A46">
        <v>39</v>
      </c>
      <c r="B46">
        <v>17</v>
      </c>
      <c r="C46">
        <v>14.53</v>
      </c>
      <c r="D46">
        <v>89100</v>
      </c>
      <c r="E46">
        <v>197000</v>
      </c>
      <c r="F46">
        <v>0</v>
      </c>
      <c r="G46" t="s">
        <v>13</v>
      </c>
      <c r="H46">
        <v>405000</v>
      </c>
      <c r="I46">
        <v>245000</v>
      </c>
      <c r="J46">
        <v>180</v>
      </c>
      <c r="K46" t="str">
        <f t="shared" si="0"/>
        <v>10-20</v>
      </c>
      <c r="L46" s="13">
        <f t="shared" si="1"/>
        <v>60.493827160493829</v>
      </c>
      <c r="M46" t="str">
        <f t="shared" si="2"/>
        <v>selected</v>
      </c>
      <c r="N46" t="str">
        <f t="shared" si="3"/>
        <v>not selected</v>
      </c>
      <c r="O46">
        <v>60.493827160493829</v>
      </c>
      <c r="P46">
        <v>46</v>
      </c>
      <c r="Q46">
        <v>180</v>
      </c>
      <c r="R46">
        <v>0</v>
      </c>
      <c r="S46">
        <v>4.670189246697932</v>
      </c>
      <c r="T46" t="str">
        <f t="shared" si="4"/>
        <v>Less than 80%</v>
      </c>
      <c r="U46">
        <v>60.493827160493829</v>
      </c>
      <c r="V46">
        <v>46</v>
      </c>
      <c r="W46">
        <v>0</v>
      </c>
    </row>
    <row r="47" spans="1:33">
      <c r="A47">
        <v>40</v>
      </c>
      <c r="B47">
        <v>51</v>
      </c>
      <c r="C47">
        <v>23.51</v>
      </c>
      <c r="D47">
        <v>124900</v>
      </c>
      <c r="E47">
        <v>143000</v>
      </c>
      <c r="F47">
        <v>0</v>
      </c>
      <c r="G47" t="s">
        <v>13</v>
      </c>
      <c r="H47">
        <v>675000</v>
      </c>
      <c r="I47">
        <v>475000</v>
      </c>
      <c r="J47">
        <v>240</v>
      </c>
      <c r="K47" t="str">
        <f t="shared" si="0"/>
        <v>20-30</v>
      </c>
      <c r="L47" s="13">
        <f t="shared" si="1"/>
        <v>70.370370370370367</v>
      </c>
      <c r="M47" t="str">
        <f t="shared" si="2"/>
        <v>not selected</v>
      </c>
      <c r="N47" t="str">
        <f t="shared" si="3"/>
        <v>not selected</v>
      </c>
      <c r="O47">
        <v>70.370370370370367</v>
      </c>
      <c r="P47">
        <v>24</v>
      </c>
      <c r="Q47">
        <v>240</v>
      </c>
      <c r="R47">
        <v>0</v>
      </c>
      <c r="S47">
        <v>4.702726849105666</v>
      </c>
      <c r="T47" t="str">
        <f t="shared" si="4"/>
        <v>Less than 80%</v>
      </c>
      <c r="U47">
        <v>70.370370370370367</v>
      </c>
      <c r="V47">
        <v>24</v>
      </c>
      <c r="W47">
        <v>0</v>
      </c>
    </row>
    <row r="48" spans="1:33">
      <c r="A48">
        <v>41</v>
      </c>
      <c r="B48">
        <v>27</v>
      </c>
      <c r="C48">
        <v>5.0199999999999996</v>
      </c>
      <c r="D48">
        <v>102800</v>
      </c>
      <c r="E48">
        <v>158000</v>
      </c>
      <c r="F48">
        <v>0</v>
      </c>
      <c r="G48" t="s">
        <v>13</v>
      </c>
      <c r="H48">
        <v>345000</v>
      </c>
      <c r="I48">
        <v>195000</v>
      </c>
      <c r="J48">
        <v>180</v>
      </c>
      <c r="K48" t="str">
        <f t="shared" si="0"/>
        <v>0-10</v>
      </c>
      <c r="L48" s="13">
        <f t="shared" si="1"/>
        <v>56.521739130434781</v>
      </c>
      <c r="M48" t="str">
        <f t="shared" si="2"/>
        <v>selected</v>
      </c>
      <c r="N48" t="str">
        <f t="shared" si="3"/>
        <v>not selected</v>
      </c>
      <c r="O48">
        <v>56.521739130434781</v>
      </c>
      <c r="P48">
        <v>21</v>
      </c>
      <c r="Q48">
        <v>180</v>
      </c>
      <c r="R48">
        <v>0</v>
      </c>
      <c r="S48">
        <v>3.4649808946669109</v>
      </c>
      <c r="T48" t="str">
        <f t="shared" si="4"/>
        <v>Less than 80%</v>
      </c>
      <c r="U48">
        <v>56.521739130434781</v>
      </c>
      <c r="V48">
        <v>21</v>
      </c>
      <c r="W48">
        <v>0</v>
      </c>
    </row>
    <row r="49" spans="1:23">
      <c r="A49">
        <v>42</v>
      </c>
      <c r="B49">
        <v>8</v>
      </c>
      <c r="C49">
        <v>77.25</v>
      </c>
      <c r="D49">
        <v>100000</v>
      </c>
      <c r="E49">
        <v>232000</v>
      </c>
      <c r="F49">
        <v>0</v>
      </c>
      <c r="G49" t="s">
        <v>13</v>
      </c>
      <c r="H49">
        <v>575000</v>
      </c>
      <c r="I49">
        <v>475000</v>
      </c>
      <c r="J49">
        <v>360</v>
      </c>
      <c r="K49" t="str">
        <f t="shared" si="0"/>
        <v>More than 50</v>
      </c>
      <c r="L49" s="13">
        <f t="shared" si="1"/>
        <v>82.608695652173907</v>
      </c>
      <c r="M49" t="str">
        <f t="shared" si="2"/>
        <v>not selected</v>
      </c>
      <c r="N49" t="str">
        <f t="shared" si="3"/>
        <v>not selected</v>
      </c>
      <c r="O49">
        <v>82.608695652173907</v>
      </c>
      <c r="P49">
        <v>18</v>
      </c>
      <c r="Q49">
        <v>360</v>
      </c>
      <c r="R49">
        <v>0</v>
      </c>
      <c r="S49">
        <v>5.5115362353141766</v>
      </c>
      <c r="T49" t="str">
        <f t="shared" si="4"/>
        <v>More than 80%</v>
      </c>
      <c r="U49">
        <v>82.608695652173907</v>
      </c>
      <c r="V49">
        <v>18</v>
      </c>
      <c r="W49">
        <v>0</v>
      </c>
    </row>
    <row r="50" spans="1:23">
      <c r="A50">
        <v>43</v>
      </c>
      <c r="B50">
        <v>8</v>
      </c>
      <c r="C50">
        <v>25.29</v>
      </c>
      <c r="D50">
        <v>115100</v>
      </c>
      <c r="E50">
        <v>162000</v>
      </c>
      <c r="F50">
        <v>0</v>
      </c>
      <c r="G50" t="s">
        <v>13</v>
      </c>
      <c r="H50">
        <v>595000</v>
      </c>
      <c r="I50">
        <v>475000</v>
      </c>
      <c r="J50">
        <v>360</v>
      </c>
      <c r="K50" t="str">
        <f t="shared" si="0"/>
        <v>20-30</v>
      </c>
      <c r="L50" s="13">
        <f t="shared" si="1"/>
        <v>79.831932773109244</v>
      </c>
      <c r="M50" t="str">
        <f t="shared" si="2"/>
        <v>not selected</v>
      </c>
      <c r="N50" t="str">
        <f t="shared" si="3"/>
        <v>not selected</v>
      </c>
      <c r="O50">
        <v>79.831932773109244</v>
      </c>
      <c r="P50">
        <v>29</v>
      </c>
      <c r="Q50">
        <v>360</v>
      </c>
      <c r="R50">
        <v>0</v>
      </c>
      <c r="S50">
        <v>4.7189934257404449</v>
      </c>
      <c r="T50" t="str">
        <f t="shared" si="4"/>
        <v>Less than 80%</v>
      </c>
      <c r="U50">
        <v>79.831932773109244</v>
      </c>
      <c r="V50">
        <v>29</v>
      </c>
      <c r="W50">
        <v>0</v>
      </c>
    </row>
    <row r="51" spans="1:23">
      <c r="A51">
        <v>44</v>
      </c>
      <c r="B51">
        <v>41</v>
      </c>
      <c r="C51">
        <v>31.34</v>
      </c>
      <c r="D51">
        <v>92100</v>
      </c>
      <c r="E51">
        <v>36000</v>
      </c>
      <c r="F51">
        <v>0</v>
      </c>
      <c r="G51" t="s">
        <v>13</v>
      </c>
      <c r="H51">
        <v>375000</v>
      </c>
      <c r="I51">
        <v>195000</v>
      </c>
      <c r="J51">
        <v>360</v>
      </c>
      <c r="K51" t="str">
        <f t="shared" si="0"/>
        <v>30-40</v>
      </c>
      <c r="L51" s="13">
        <f t="shared" si="1"/>
        <v>52</v>
      </c>
      <c r="M51" t="str">
        <f t="shared" si="2"/>
        <v>not selected</v>
      </c>
      <c r="N51" t="str">
        <f t="shared" si="3"/>
        <v>not selected</v>
      </c>
      <c r="O51">
        <v>52</v>
      </c>
      <c r="P51">
        <v>39</v>
      </c>
      <c r="Q51">
        <v>360</v>
      </c>
      <c r="R51">
        <v>0</v>
      </c>
      <c r="S51">
        <v>5.2697125495457682</v>
      </c>
      <c r="T51" t="str">
        <f t="shared" si="4"/>
        <v>Less than 80%</v>
      </c>
      <c r="U51">
        <v>52</v>
      </c>
      <c r="V51">
        <v>39</v>
      </c>
      <c r="W51">
        <v>0</v>
      </c>
    </row>
    <row r="52" spans="1:23">
      <c r="A52">
        <v>45</v>
      </c>
      <c r="B52">
        <v>9</v>
      </c>
      <c r="C52">
        <v>18.05</v>
      </c>
      <c r="D52">
        <v>97800</v>
      </c>
      <c r="E52">
        <v>60000</v>
      </c>
      <c r="F52">
        <v>1</v>
      </c>
      <c r="G52" t="s">
        <v>13</v>
      </c>
      <c r="H52">
        <v>195000</v>
      </c>
      <c r="I52">
        <v>145000</v>
      </c>
      <c r="J52">
        <v>360</v>
      </c>
      <c r="K52" t="str">
        <f t="shared" si="0"/>
        <v>10-20</v>
      </c>
      <c r="L52" s="13">
        <f t="shared" si="1"/>
        <v>74.358974358974365</v>
      </c>
      <c r="M52" t="str">
        <f t="shared" si="2"/>
        <v>not selected</v>
      </c>
      <c r="N52" t="str">
        <f t="shared" si="3"/>
        <v>not selected</v>
      </c>
      <c r="O52">
        <v>74.358974358974365</v>
      </c>
      <c r="P52">
        <v>35</v>
      </c>
      <c r="Q52">
        <v>360</v>
      </c>
      <c r="R52">
        <v>1</v>
      </c>
      <c r="S52">
        <v>4.2003931367239415</v>
      </c>
      <c r="T52" t="str">
        <f t="shared" si="4"/>
        <v>Less than 80%</v>
      </c>
      <c r="U52">
        <v>74.358974358974365</v>
      </c>
      <c r="V52">
        <v>35</v>
      </c>
      <c r="W52">
        <v>1</v>
      </c>
    </row>
    <row r="53" spans="1:23">
      <c r="A53">
        <v>46</v>
      </c>
      <c r="B53">
        <v>31</v>
      </c>
      <c r="C53">
        <v>6.85</v>
      </c>
      <c r="D53">
        <v>86900</v>
      </c>
      <c r="E53">
        <v>138000</v>
      </c>
      <c r="F53">
        <v>0</v>
      </c>
      <c r="G53" t="s">
        <v>13</v>
      </c>
      <c r="H53">
        <v>305000</v>
      </c>
      <c r="I53">
        <v>225000</v>
      </c>
      <c r="J53">
        <v>360</v>
      </c>
      <c r="K53" t="str">
        <f t="shared" si="0"/>
        <v>0-10</v>
      </c>
      <c r="L53" s="13">
        <f t="shared" si="1"/>
        <v>73.770491803278688</v>
      </c>
      <c r="M53" t="str">
        <f t="shared" si="2"/>
        <v>not selected</v>
      </c>
      <c r="N53" t="str">
        <f t="shared" si="3"/>
        <v>not selected</v>
      </c>
      <c r="O53">
        <v>73.770491803278688</v>
      </c>
      <c r="P53">
        <v>33</v>
      </c>
      <c r="Q53">
        <v>360</v>
      </c>
      <c r="R53">
        <v>0</v>
      </c>
      <c r="S53">
        <v>4.9676765857485616</v>
      </c>
      <c r="T53" t="str">
        <f t="shared" si="4"/>
        <v>Less than 80%</v>
      </c>
      <c r="U53">
        <v>73.770491803278688</v>
      </c>
      <c r="V53">
        <v>33</v>
      </c>
      <c r="W53">
        <v>0</v>
      </c>
    </row>
    <row r="54" spans="1:23">
      <c r="A54">
        <v>47</v>
      </c>
      <c r="B54">
        <v>36</v>
      </c>
      <c r="C54">
        <v>9.33</v>
      </c>
      <c r="D54">
        <v>96500</v>
      </c>
      <c r="E54">
        <v>229000</v>
      </c>
      <c r="F54">
        <v>0</v>
      </c>
      <c r="G54" t="s">
        <v>13</v>
      </c>
      <c r="H54">
        <v>475000</v>
      </c>
      <c r="I54">
        <v>315000</v>
      </c>
      <c r="J54">
        <v>360</v>
      </c>
      <c r="K54" t="str">
        <f t="shared" si="0"/>
        <v>0-10</v>
      </c>
      <c r="L54" s="13">
        <f t="shared" si="1"/>
        <v>66.315789473684205</v>
      </c>
      <c r="M54" t="str">
        <f t="shared" si="2"/>
        <v>not selected</v>
      </c>
      <c r="N54" t="str">
        <f t="shared" si="3"/>
        <v>selected</v>
      </c>
      <c r="O54">
        <v>66.315789473684205</v>
      </c>
      <c r="P54">
        <v>25</v>
      </c>
      <c r="Q54">
        <v>360</v>
      </c>
      <c r="R54">
        <v>0</v>
      </c>
      <c r="S54">
        <v>5.2528602364581367</v>
      </c>
      <c r="T54" t="str">
        <f t="shared" si="4"/>
        <v>Less than 80%</v>
      </c>
      <c r="U54">
        <v>66.315789473684205</v>
      </c>
      <c r="V54">
        <v>25</v>
      </c>
      <c r="W54">
        <v>0</v>
      </c>
    </row>
    <row r="55" spans="1:23">
      <c r="A55">
        <v>48</v>
      </c>
      <c r="B55">
        <v>48</v>
      </c>
      <c r="C55">
        <v>59.3</v>
      </c>
      <c r="D55">
        <v>52500</v>
      </c>
      <c r="E55">
        <v>173000</v>
      </c>
      <c r="F55">
        <v>0</v>
      </c>
      <c r="G55" t="s">
        <v>14</v>
      </c>
      <c r="H55">
        <v>255000</v>
      </c>
      <c r="I55">
        <v>205000</v>
      </c>
      <c r="J55">
        <v>360</v>
      </c>
      <c r="K55" t="str">
        <f t="shared" si="0"/>
        <v>More than 50</v>
      </c>
      <c r="L55" s="13">
        <f t="shared" si="1"/>
        <v>80.392156862745097</v>
      </c>
      <c r="M55" t="str">
        <f t="shared" si="2"/>
        <v>not selected</v>
      </c>
      <c r="N55" t="str">
        <f t="shared" si="3"/>
        <v>not selected</v>
      </c>
      <c r="O55">
        <v>80.392156862745097</v>
      </c>
      <c r="P55">
        <v>38</v>
      </c>
      <c r="Q55">
        <v>360</v>
      </c>
      <c r="R55">
        <v>0</v>
      </c>
      <c r="S55">
        <v>4.6229874755643889</v>
      </c>
      <c r="T55" t="str">
        <f t="shared" si="4"/>
        <v>More than 80%</v>
      </c>
      <c r="U55">
        <v>80.392156862745097</v>
      </c>
      <c r="V55">
        <v>38</v>
      </c>
      <c r="W55">
        <v>0</v>
      </c>
    </row>
    <row r="56" spans="1:23">
      <c r="A56">
        <v>49</v>
      </c>
      <c r="B56">
        <v>55</v>
      </c>
      <c r="C56">
        <v>4.3499999999999996</v>
      </c>
      <c r="D56">
        <v>76800</v>
      </c>
      <c r="E56">
        <v>146000</v>
      </c>
      <c r="F56">
        <v>0</v>
      </c>
      <c r="G56" t="s">
        <v>14</v>
      </c>
      <c r="H56">
        <v>305000</v>
      </c>
      <c r="I56">
        <v>175000</v>
      </c>
      <c r="J56">
        <v>180</v>
      </c>
      <c r="K56" t="str">
        <f t="shared" si="0"/>
        <v>0-10</v>
      </c>
      <c r="L56" s="13">
        <f t="shared" si="1"/>
        <v>57.377049180327866</v>
      </c>
      <c r="M56" t="str">
        <f t="shared" si="2"/>
        <v>selected</v>
      </c>
      <c r="N56" t="str">
        <f t="shared" si="3"/>
        <v>not selected</v>
      </c>
      <c r="O56">
        <v>57.377049180327866</v>
      </c>
      <c r="P56">
        <v>16</v>
      </c>
      <c r="Q56">
        <v>180</v>
      </c>
      <c r="R56">
        <v>0</v>
      </c>
      <c r="S56">
        <v>3.2507288671297903</v>
      </c>
      <c r="T56" t="str">
        <f t="shared" si="4"/>
        <v>Less than 80%</v>
      </c>
      <c r="U56">
        <v>57.377049180327866</v>
      </c>
      <c r="V56">
        <v>16</v>
      </c>
      <c r="W56">
        <v>0</v>
      </c>
    </row>
    <row r="57" spans="1:23">
      <c r="A57">
        <v>50</v>
      </c>
      <c r="B57">
        <v>47</v>
      </c>
      <c r="C57">
        <v>20.22</v>
      </c>
      <c r="D57">
        <v>80700</v>
      </c>
      <c r="E57">
        <v>57000</v>
      </c>
      <c r="F57">
        <v>1</v>
      </c>
      <c r="G57" t="s">
        <v>14</v>
      </c>
      <c r="H57">
        <v>335000</v>
      </c>
      <c r="I57">
        <v>315000</v>
      </c>
      <c r="J57">
        <v>360</v>
      </c>
      <c r="K57" t="str">
        <f t="shared" si="0"/>
        <v>20-30</v>
      </c>
      <c r="L57" s="13">
        <f t="shared" si="1"/>
        <v>94.029850746268664</v>
      </c>
      <c r="M57" t="str">
        <f t="shared" si="2"/>
        <v>not selected</v>
      </c>
      <c r="N57" t="str">
        <f t="shared" si="3"/>
        <v>not selected</v>
      </c>
      <c r="O57">
        <v>94.029850746268664</v>
      </c>
      <c r="P57">
        <v>24</v>
      </c>
      <c r="Q57">
        <v>360</v>
      </c>
      <c r="R57">
        <v>1</v>
      </c>
      <c r="S57">
        <v>5.8282319836501451</v>
      </c>
      <c r="T57" t="str">
        <f t="shared" si="4"/>
        <v>More than 80%</v>
      </c>
      <c r="U57">
        <v>94.029850746268664</v>
      </c>
      <c r="V57">
        <v>24</v>
      </c>
      <c r="W57">
        <v>1</v>
      </c>
    </row>
    <row r="58" spans="1:23">
      <c r="A58">
        <v>51</v>
      </c>
      <c r="B58">
        <v>53</v>
      </c>
      <c r="C58">
        <v>39.58</v>
      </c>
      <c r="D58">
        <v>106900</v>
      </c>
      <c r="E58">
        <v>91000</v>
      </c>
      <c r="F58">
        <v>0</v>
      </c>
      <c r="G58" t="s">
        <v>14</v>
      </c>
      <c r="H58">
        <v>345000</v>
      </c>
      <c r="I58">
        <v>285000</v>
      </c>
      <c r="J58">
        <v>360</v>
      </c>
      <c r="K58" t="str">
        <f t="shared" si="0"/>
        <v>30-40</v>
      </c>
      <c r="L58" s="13">
        <f t="shared" si="1"/>
        <v>82.608695652173907</v>
      </c>
      <c r="M58" t="str">
        <f t="shared" si="2"/>
        <v>not selected</v>
      </c>
      <c r="N58" t="str">
        <f t="shared" si="3"/>
        <v>not selected</v>
      </c>
      <c r="O58">
        <v>82.608695652173907</v>
      </c>
      <c r="P58">
        <v>23</v>
      </c>
      <c r="Q58">
        <v>360</v>
      </c>
      <c r="R58">
        <v>0</v>
      </c>
      <c r="S58">
        <v>3.8291778574695403</v>
      </c>
      <c r="T58" t="str">
        <f t="shared" si="4"/>
        <v>More than 80%</v>
      </c>
      <c r="U58">
        <v>82.608695652173907</v>
      </c>
      <c r="V58">
        <v>23</v>
      </c>
      <c r="W58">
        <v>0</v>
      </c>
    </row>
    <row r="59" spans="1:23">
      <c r="A59">
        <v>52</v>
      </c>
      <c r="B59">
        <v>5</v>
      </c>
      <c r="C59">
        <v>2.66</v>
      </c>
      <c r="D59">
        <v>72300</v>
      </c>
      <c r="E59">
        <v>123000</v>
      </c>
      <c r="F59">
        <v>1</v>
      </c>
      <c r="G59" t="s">
        <v>14</v>
      </c>
      <c r="H59">
        <v>365000</v>
      </c>
      <c r="I59">
        <v>335000</v>
      </c>
      <c r="J59">
        <v>360</v>
      </c>
      <c r="K59" t="str">
        <f t="shared" si="0"/>
        <v>0-10</v>
      </c>
      <c r="L59" s="13">
        <f t="shared" si="1"/>
        <v>91.780821917808225</v>
      </c>
      <c r="M59" t="str">
        <f t="shared" si="2"/>
        <v>not selected</v>
      </c>
      <c r="N59" t="str">
        <f t="shared" si="3"/>
        <v>not selected</v>
      </c>
      <c r="O59">
        <v>91.780821917808225</v>
      </c>
      <c r="P59">
        <v>48</v>
      </c>
      <c r="Q59">
        <v>360</v>
      </c>
      <c r="R59">
        <v>1</v>
      </c>
      <c r="S59">
        <v>6.3313891262751074</v>
      </c>
      <c r="T59" t="str">
        <f t="shared" si="4"/>
        <v>More than 80%</v>
      </c>
      <c r="U59">
        <v>91.780821917808225</v>
      </c>
      <c r="V59">
        <v>48</v>
      </c>
      <c r="W59">
        <v>1</v>
      </c>
    </row>
    <row r="60" spans="1:23">
      <c r="A60">
        <v>53</v>
      </c>
      <c r="B60">
        <v>36</v>
      </c>
      <c r="C60">
        <v>2.91</v>
      </c>
      <c r="D60">
        <v>77600</v>
      </c>
      <c r="E60">
        <v>146000</v>
      </c>
      <c r="F60">
        <v>0</v>
      </c>
      <c r="G60" t="s">
        <v>14</v>
      </c>
      <c r="H60">
        <v>355000</v>
      </c>
      <c r="I60">
        <v>305000</v>
      </c>
      <c r="J60">
        <v>360</v>
      </c>
      <c r="K60" t="str">
        <f t="shared" si="0"/>
        <v>0-10</v>
      </c>
      <c r="L60" s="13">
        <f t="shared" si="1"/>
        <v>85.91549295774648</v>
      </c>
      <c r="M60" t="str">
        <f t="shared" si="2"/>
        <v>not selected</v>
      </c>
      <c r="N60" t="str">
        <f t="shared" si="3"/>
        <v>not selected</v>
      </c>
      <c r="O60">
        <v>85.91549295774648</v>
      </c>
      <c r="P60">
        <v>30</v>
      </c>
      <c r="Q60">
        <v>360</v>
      </c>
      <c r="R60">
        <v>0</v>
      </c>
      <c r="S60">
        <v>4.1742018412203787</v>
      </c>
      <c r="T60" t="str">
        <f t="shared" si="4"/>
        <v>More than 80%</v>
      </c>
      <c r="U60">
        <v>85.91549295774648</v>
      </c>
      <c r="V60">
        <v>30</v>
      </c>
      <c r="W60">
        <v>0</v>
      </c>
    </row>
    <row r="61" spans="1:23">
      <c r="A61">
        <v>54</v>
      </c>
      <c r="B61">
        <v>13</v>
      </c>
      <c r="C61">
        <v>8.7100000000000009</v>
      </c>
      <c r="D61">
        <v>54700</v>
      </c>
      <c r="E61">
        <v>79000</v>
      </c>
      <c r="F61">
        <v>0</v>
      </c>
      <c r="G61" t="s">
        <v>14</v>
      </c>
      <c r="H61">
        <v>145000</v>
      </c>
      <c r="I61">
        <v>105000</v>
      </c>
      <c r="J61">
        <v>180</v>
      </c>
      <c r="K61" t="str">
        <f t="shared" si="0"/>
        <v>0-10</v>
      </c>
      <c r="L61" s="13">
        <f t="shared" si="1"/>
        <v>72.41379310344827</v>
      </c>
      <c r="M61" t="str">
        <f t="shared" si="2"/>
        <v>selected</v>
      </c>
      <c r="N61" t="str">
        <f t="shared" si="3"/>
        <v>not selected</v>
      </c>
      <c r="O61">
        <v>72.41379310344827</v>
      </c>
      <c r="P61">
        <v>31</v>
      </c>
      <c r="Q61">
        <v>180</v>
      </c>
      <c r="R61">
        <v>0</v>
      </c>
      <c r="S61">
        <v>4.8930189370082173</v>
      </c>
      <c r="T61" t="str">
        <f t="shared" si="4"/>
        <v>Less than 80%</v>
      </c>
      <c r="U61">
        <v>72.41379310344827</v>
      </c>
      <c r="V61">
        <v>31</v>
      </c>
      <c r="W61">
        <v>0</v>
      </c>
    </row>
    <row r="62" spans="1:23">
      <c r="A62">
        <v>55</v>
      </c>
      <c r="B62">
        <v>25</v>
      </c>
      <c r="C62">
        <v>12.34</v>
      </c>
      <c r="D62">
        <v>95300</v>
      </c>
      <c r="E62">
        <v>112000</v>
      </c>
      <c r="F62">
        <v>0</v>
      </c>
      <c r="G62" t="s">
        <v>14</v>
      </c>
      <c r="H62">
        <v>515000</v>
      </c>
      <c r="I62">
        <v>285000</v>
      </c>
      <c r="J62">
        <v>180</v>
      </c>
      <c r="K62" t="str">
        <f t="shared" si="0"/>
        <v>10-20</v>
      </c>
      <c r="L62" s="13">
        <f t="shared" si="1"/>
        <v>55.339805825242713</v>
      </c>
      <c r="M62" t="str">
        <f t="shared" si="2"/>
        <v>selected</v>
      </c>
      <c r="N62" t="str">
        <f t="shared" si="3"/>
        <v>not selected</v>
      </c>
      <c r="O62">
        <v>55.339805825242713</v>
      </c>
      <c r="P62">
        <v>30</v>
      </c>
      <c r="Q62">
        <v>180</v>
      </c>
      <c r="R62">
        <v>0</v>
      </c>
      <c r="S62">
        <v>4.0447807755605316</v>
      </c>
      <c r="T62" t="str">
        <f t="shared" si="4"/>
        <v>Less than 80%</v>
      </c>
      <c r="U62">
        <v>55.339805825242713</v>
      </c>
      <c r="V62">
        <v>30</v>
      </c>
      <c r="W62">
        <v>0</v>
      </c>
    </row>
    <row r="63" spans="1:23">
      <c r="A63">
        <v>56</v>
      </c>
      <c r="B63">
        <v>8</v>
      </c>
      <c r="C63">
        <v>23.98</v>
      </c>
      <c r="D63">
        <v>71000</v>
      </c>
      <c r="E63">
        <v>191000</v>
      </c>
      <c r="F63">
        <v>0</v>
      </c>
      <c r="G63" t="s">
        <v>14</v>
      </c>
      <c r="H63">
        <v>455000</v>
      </c>
      <c r="I63">
        <v>365000</v>
      </c>
      <c r="J63">
        <v>360</v>
      </c>
      <c r="K63" t="str">
        <f t="shared" si="0"/>
        <v>20-30</v>
      </c>
      <c r="L63" s="13">
        <f t="shared" si="1"/>
        <v>80.219780219780219</v>
      </c>
      <c r="M63" t="str">
        <f t="shared" si="2"/>
        <v>not selected</v>
      </c>
      <c r="N63" t="str">
        <f t="shared" si="3"/>
        <v>not selected</v>
      </c>
      <c r="O63">
        <v>80.219780219780219</v>
      </c>
      <c r="P63">
        <v>15</v>
      </c>
      <c r="Q63">
        <v>360</v>
      </c>
      <c r="R63">
        <v>0</v>
      </c>
      <c r="S63">
        <v>4.7803614272004591</v>
      </c>
      <c r="T63" t="str">
        <f t="shared" si="4"/>
        <v>More than 80%</v>
      </c>
      <c r="U63">
        <v>80.219780219780219</v>
      </c>
      <c r="V63">
        <v>15</v>
      </c>
      <c r="W63">
        <v>0</v>
      </c>
    </row>
    <row r="64" spans="1:23">
      <c r="A64">
        <v>57</v>
      </c>
      <c r="B64">
        <v>5</v>
      </c>
      <c r="C64">
        <v>6.5</v>
      </c>
      <c r="D64">
        <v>71400</v>
      </c>
      <c r="E64">
        <v>53000</v>
      </c>
      <c r="F64">
        <v>0</v>
      </c>
      <c r="G64" t="s">
        <v>14</v>
      </c>
      <c r="H64">
        <v>305000</v>
      </c>
      <c r="I64">
        <v>265000</v>
      </c>
      <c r="J64">
        <v>360</v>
      </c>
      <c r="K64" t="str">
        <f t="shared" si="0"/>
        <v>0-10</v>
      </c>
      <c r="L64" s="13">
        <f t="shared" si="1"/>
        <v>86.885245901639337</v>
      </c>
      <c r="M64" t="str">
        <f t="shared" si="2"/>
        <v>not selected</v>
      </c>
      <c r="N64" t="str">
        <f t="shared" si="3"/>
        <v>not selected</v>
      </c>
      <c r="O64">
        <v>86.885245901639337</v>
      </c>
      <c r="P64">
        <v>22</v>
      </c>
      <c r="Q64">
        <v>360</v>
      </c>
      <c r="R64">
        <v>0</v>
      </c>
      <c r="S64">
        <v>5.2163198711935976</v>
      </c>
      <c r="T64" t="str">
        <f t="shared" si="4"/>
        <v>More than 80%</v>
      </c>
      <c r="U64">
        <v>86.885245901639337</v>
      </c>
      <c r="V64">
        <v>22</v>
      </c>
      <c r="W64">
        <v>0</v>
      </c>
    </row>
    <row r="65" spans="1:29">
      <c r="A65">
        <v>58</v>
      </c>
      <c r="B65">
        <v>6</v>
      </c>
      <c r="C65">
        <v>90.45</v>
      </c>
      <c r="D65">
        <v>83300</v>
      </c>
      <c r="E65">
        <v>102000</v>
      </c>
      <c r="F65">
        <v>0</v>
      </c>
      <c r="G65" t="s">
        <v>14</v>
      </c>
      <c r="H65">
        <v>535000</v>
      </c>
      <c r="I65">
        <v>285000</v>
      </c>
      <c r="J65">
        <v>360</v>
      </c>
      <c r="K65" t="str">
        <f t="shared" si="0"/>
        <v>More than 50</v>
      </c>
      <c r="L65" s="13">
        <f t="shared" si="1"/>
        <v>53.271028037383175</v>
      </c>
      <c r="M65" t="str">
        <f t="shared" si="2"/>
        <v>not selected</v>
      </c>
      <c r="N65" t="str">
        <f t="shared" si="3"/>
        <v>not selected</v>
      </c>
      <c r="O65">
        <v>53.271028037383175</v>
      </c>
      <c r="P65">
        <v>20</v>
      </c>
      <c r="Q65">
        <v>360</v>
      </c>
      <c r="R65">
        <v>0</v>
      </c>
      <c r="S65">
        <v>3.5968985736336343</v>
      </c>
      <c r="T65" t="str">
        <f t="shared" si="4"/>
        <v>Less than 80%</v>
      </c>
      <c r="U65">
        <v>53.271028037383175</v>
      </c>
      <c r="V65">
        <v>20</v>
      </c>
      <c r="W65">
        <v>0</v>
      </c>
    </row>
    <row r="66" spans="1:29">
      <c r="A66">
        <v>59</v>
      </c>
      <c r="B66">
        <v>41</v>
      </c>
      <c r="C66">
        <v>31.34</v>
      </c>
      <c r="D66">
        <v>92100</v>
      </c>
      <c r="E66">
        <v>75000</v>
      </c>
      <c r="F66">
        <v>0</v>
      </c>
      <c r="G66" t="s">
        <v>14</v>
      </c>
      <c r="H66">
        <v>375000</v>
      </c>
      <c r="I66">
        <v>185000</v>
      </c>
      <c r="J66">
        <v>180</v>
      </c>
      <c r="K66" t="str">
        <f t="shared" si="0"/>
        <v>30-40</v>
      </c>
      <c r="L66" s="13">
        <f t="shared" si="1"/>
        <v>49.333333333333336</v>
      </c>
      <c r="M66" t="str">
        <f t="shared" si="2"/>
        <v>selected</v>
      </c>
      <c r="N66" t="str">
        <f t="shared" si="3"/>
        <v>not selected</v>
      </c>
      <c r="O66">
        <v>49.333333333333336</v>
      </c>
      <c r="P66">
        <v>18</v>
      </c>
      <c r="Q66">
        <v>180</v>
      </c>
      <c r="R66">
        <v>0</v>
      </c>
      <c r="S66">
        <v>3.6241489603514507</v>
      </c>
      <c r="T66" t="str">
        <f t="shared" si="4"/>
        <v>Less than 80%</v>
      </c>
      <c r="U66">
        <v>49.333333333333336</v>
      </c>
      <c r="V66">
        <v>18</v>
      </c>
      <c r="W66">
        <v>0</v>
      </c>
    </row>
    <row r="67" spans="1:29">
      <c r="A67">
        <v>60</v>
      </c>
      <c r="B67">
        <v>39</v>
      </c>
      <c r="C67">
        <v>9.7899999999999991</v>
      </c>
      <c r="D67">
        <v>76000</v>
      </c>
      <c r="E67">
        <v>65000</v>
      </c>
      <c r="F67">
        <v>0</v>
      </c>
      <c r="G67" t="s">
        <v>14</v>
      </c>
      <c r="H67">
        <v>175000</v>
      </c>
      <c r="I67">
        <v>125000</v>
      </c>
      <c r="J67">
        <v>360</v>
      </c>
      <c r="K67" t="str">
        <f t="shared" si="0"/>
        <v>0-10</v>
      </c>
      <c r="L67" s="13">
        <f t="shared" si="1"/>
        <v>71.428571428571431</v>
      </c>
      <c r="M67" t="str">
        <f t="shared" si="2"/>
        <v>not selected</v>
      </c>
      <c r="N67" t="str">
        <f t="shared" si="3"/>
        <v>not selected</v>
      </c>
      <c r="O67">
        <v>71.428571428571431</v>
      </c>
      <c r="P67">
        <v>17</v>
      </c>
      <c r="Q67">
        <v>360</v>
      </c>
      <c r="R67">
        <v>0</v>
      </c>
      <c r="S67">
        <v>4.1429750992075771</v>
      </c>
      <c r="T67" t="str">
        <f t="shared" si="4"/>
        <v>Less than 80%</v>
      </c>
      <c r="U67">
        <v>71.428571428571431</v>
      </c>
      <c r="V67">
        <v>17</v>
      </c>
      <c r="W67">
        <v>0</v>
      </c>
    </row>
    <row r="68" spans="1:29">
      <c r="A68">
        <v>61</v>
      </c>
      <c r="B68">
        <v>13</v>
      </c>
      <c r="C68">
        <v>16.149999999999999</v>
      </c>
      <c r="D68">
        <v>55400</v>
      </c>
      <c r="E68">
        <v>62000</v>
      </c>
      <c r="F68">
        <v>0</v>
      </c>
      <c r="G68" t="s">
        <v>14</v>
      </c>
      <c r="H68">
        <v>235000</v>
      </c>
      <c r="I68">
        <v>175000</v>
      </c>
      <c r="J68">
        <v>180</v>
      </c>
      <c r="K68" t="str">
        <f t="shared" si="0"/>
        <v>10-20</v>
      </c>
      <c r="L68" s="13">
        <f t="shared" si="1"/>
        <v>74.468085106382972</v>
      </c>
      <c r="M68" t="str">
        <f t="shared" si="2"/>
        <v>selected</v>
      </c>
      <c r="N68" t="str">
        <f t="shared" si="3"/>
        <v>not selected</v>
      </c>
      <c r="O68">
        <v>74.468085106382972</v>
      </c>
      <c r="P68">
        <v>31</v>
      </c>
      <c r="Q68">
        <v>180</v>
      </c>
      <c r="R68">
        <v>0</v>
      </c>
      <c r="S68">
        <v>3.7196751104277688</v>
      </c>
      <c r="T68" t="str">
        <f t="shared" si="4"/>
        <v>Less than 80%</v>
      </c>
      <c r="U68">
        <v>74.468085106382972</v>
      </c>
      <c r="V68">
        <v>31</v>
      </c>
      <c r="W68">
        <v>0</v>
      </c>
    </row>
    <row r="69" spans="1:29">
      <c r="A69">
        <v>62</v>
      </c>
      <c r="B69">
        <v>45</v>
      </c>
      <c r="C69">
        <v>55.47</v>
      </c>
      <c r="D69">
        <v>71400</v>
      </c>
      <c r="E69">
        <v>130000</v>
      </c>
      <c r="F69">
        <v>0</v>
      </c>
      <c r="G69" t="s">
        <v>14</v>
      </c>
      <c r="H69">
        <v>335000</v>
      </c>
      <c r="I69">
        <v>245000</v>
      </c>
      <c r="J69">
        <v>360</v>
      </c>
      <c r="K69" t="str">
        <f t="shared" si="0"/>
        <v>More than 50</v>
      </c>
      <c r="L69" s="13">
        <f t="shared" si="1"/>
        <v>73.134328358208961</v>
      </c>
      <c r="M69" t="str">
        <f t="shared" si="2"/>
        <v>not selected</v>
      </c>
      <c r="N69" t="str">
        <f t="shared" si="3"/>
        <v>not selected</v>
      </c>
      <c r="O69">
        <v>73.134328358208961</v>
      </c>
      <c r="P69">
        <v>56</v>
      </c>
      <c r="Q69">
        <v>360</v>
      </c>
      <c r="R69">
        <v>0</v>
      </c>
      <c r="S69">
        <v>4.9285413239571989</v>
      </c>
      <c r="T69" t="str">
        <f t="shared" si="4"/>
        <v>Less than 80%</v>
      </c>
      <c r="U69">
        <v>73.134328358208961</v>
      </c>
      <c r="V69">
        <v>56</v>
      </c>
      <c r="W69">
        <v>0</v>
      </c>
    </row>
    <row r="70" spans="1:29">
      <c r="A70">
        <v>63</v>
      </c>
      <c r="B70">
        <v>6</v>
      </c>
      <c r="C70">
        <v>29.96</v>
      </c>
      <c r="D70">
        <v>83300</v>
      </c>
      <c r="E70">
        <v>192000</v>
      </c>
      <c r="F70">
        <v>0</v>
      </c>
      <c r="G70" t="s">
        <v>14</v>
      </c>
      <c r="H70">
        <v>965000</v>
      </c>
      <c r="I70">
        <v>585000</v>
      </c>
      <c r="J70">
        <v>360</v>
      </c>
      <c r="K70" t="str">
        <f t="shared" si="0"/>
        <v>20-30</v>
      </c>
      <c r="L70" s="13">
        <f t="shared" si="1"/>
        <v>60.62176165803109</v>
      </c>
      <c r="M70" t="str">
        <f t="shared" si="2"/>
        <v>not selected</v>
      </c>
      <c r="N70" t="str">
        <f t="shared" si="3"/>
        <v>not selected</v>
      </c>
      <c r="O70">
        <v>60.62176165803109</v>
      </c>
      <c r="P70">
        <v>19</v>
      </c>
      <c r="Q70">
        <v>360</v>
      </c>
      <c r="R70">
        <v>0</v>
      </c>
      <c r="S70">
        <v>4.108735852523755</v>
      </c>
      <c r="T70" t="str">
        <f t="shared" si="4"/>
        <v>Less than 80%</v>
      </c>
      <c r="U70">
        <v>60.62176165803109</v>
      </c>
      <c r="V70">
        <v>19</v>
      </c>
      <c r="W70">
        <v>0</v>
      </c>
    </row>
    <row r="71" spans="1:29">
      <c r="A71">
        <v>64</v>
      </c>
      <c r="B71">
        <v>8</v>
      </c>
      <c r="C71">
        <v>26.51</v>
      </c>
      <c r="D71">
        <v>100000</v>
      </c>
      <c r="E71">
        <v>121000</v>
      </c>
      <c r="F71">
        <v>0</v>
      </c>
      <c r="G71" t="s">
        <v>14</v>
      </c>
      <c r="H71">
        <v>595000</v>
      </c>
      <c r="I71">
        <v>385000</v>
      </c>
      <c r="J71">
        <v>360</v>
      </c>
      <c r="K71" t="str">
        <f t="shared" si="0"/>
        <v>20-30</v>
      </c>
      <c r="L71" s="13">
        <f t="shared" si="1"/>
        <v>64.705882352941174</v>
      </c>
      <c r="M71" t="str">
        <f t="shared" si="2"/>
        <v>not selected</v>
      </c>
      <c r="N71" t="str">
        <f t="shared" si="3"/>
        <v>not selected</v>
      </c>
      <c r="O71">
        <v>64.705882352941174</v>
      </c>
      <c r="P71">
        <v>38</v>
      </c>
      <c r="Q71">
        <v>360</v>
      </c>
      <c r="R71">
        <v>0</v>
      </c>
      <c r="S71">
        <v>5.3240370435441973</v>
      </c>
      <c r="T71" t="str">
        <f t="shared" si="4"/>
        <v>Less than 80%</v>
      </c>
      <c r="U71">
        <v>64.705882352941174</v>
      </c>
      <c r="V71">
        <v>38</v>
      </c>
      <c r="W71">
        <v>0</v>
      </c>
      <c r="Y71" s="23"/>
      <c r="Z71" s="23"/>
    </row>
    <row r="72" spans="1:29">
      <c r="A72">
        <v>65</v>
      </c>
      <c r="B72">
        <v>5</v>
      </c>
      <c r="C72">
        <v>24.01</v>
      </c>
      <c r="D72">
        <v>71400</v>
      </c>
      <c r="E72">
        <v>140000</v>
      </c>
      <c r="F72">
        <v>0</v>
      </c>
      <c r="G72" t="s">
        <v>14</v>
      </c>
      <c r="H72">
        <v>225000</v>
      </c>
      <c r="I72">
        <v>195000</v>
      </c>
      <c r="J72">
        <v>360</v>
      </c>
      <c r="K72" t="str">
        <f t="shared" ref="K72:K135" si="5">IF(C72&gt;=50,"More than 50",IF(C72&gt;=40,"40-50",IF(C72&gt;=30,"30-40",IF(C72&gt;=20,"20-30",IF(C72&gt;=10,"10-20","0-10")))))</f>
        <v>20-30</v>
      </c>
      <c r="L72" s="13">
        <f t="shared" ref="L72:L135" si="6">(I72/H72)*100</f>
        <v>86.666666666666671</v>
      </c>
      <c r="M72" t="str">
        <f t="shared" si="2"/>
        <v>not selected</v>
      </c>
      <c r="N72" t="str">
        <f t="shared" si="3"/>
        <v>not selected</v>
      </c>
      <c r="O72">
        <v>86.666666666666671</v>
      </c>
      <c r="P72">
        <v>32</v>
      </c>
      <c r="Q72">
        <v>360</v>
      </c>
      <c r="R72">
        <v>0</v>
      </c>
      <c r="S72">
        <v>5.425396761931637</v>
      </c>
      <c r="T72" t="str">
        <f t="shared" si="4"/>
        <v>More than 80%</v>
      </c>
      <c r="U72">
        <v>86.666666666666671</v>
      </c>
      <c r="V72">
        <v>32</v>
      </c>
      <c r="W72">
        <v>0</v>
      </c>
    </row>
    <row r="73" spans="1:29">
      <c r="A73">
        <v>66</v>
      </c>
      <c r="B73">
        <v>45</v>
      </c>
      <c r="C73">
        <v>37.47</v>
      </c>
      <c r="D73">
        <v>81000</v>
      </c>
      <c r="E73">
        <v>203000</v>
      </c>
      <c r="F73">
        <v>0</v>
      </c>
      <c r="G73" t="s">
        <v>14</v>
      </c>
      <c r="H73">
        <v>395000</v>
      </c>
      <c r="I73">
        <v>295000</v>
      </c>
      <c r="J73">
        <v>360</v>
      </c>
      <c r="K73" t="str">
        <f t="shared" si="5"/>
        <v>30-40</v>
      </c>
      <c r="L73" s="13">
        <f t="shared" si="6"/>
        <v>74.683544303797461</v>
      </c>
      <c r="M73" t="str">
        <f t="shared" ref="M73:M136" si="7">IF(AND(L73&lt;=80,J73&lt;=180),"selected","not selected")</f>
        <v>not selected</v>
      </c>
      <c r="N73" t="str">
        <f t="shared" ref="N73:N136" si="8">IF(AND(L73&lt;=80,E73&gt;=222400),"selected","not selected")</f>
        <v>not selected</v>
      </c>
      <c r="O73">
        <v>74.683544303797461</v>
      </c>
      <c r="P73">
        <v>28</v>
      </c>
      <c r="Q73">
        <v>360</v>
      </c>
      <c r="R73">
        <v>0</v>
      </c>
      <c r="S73">
        <v>5.070394642019588</v>
      </c>
      <c r="T73" t="str">
        <f t="shared" ref="T73:T136" si="9">IF(L73&gt;=80,"More than 80%","Less than 80%")</f>
        <v>Less than 80%</v>
      </c>
      <c r="U73">
        <v>74.683544303797461</v>
      </c>
      <c r="V73">
        <v>28</v>
      </c>
      <c r="W73">
        <v>0</v>
      </c>
    </row>
    <row r="74" spans="1:29">
      <c r="A74">
        <v>67</v>
      </c>
      <c r="B74">
        <v>25</v>
      </c>
      <c r="C74">
        <v>8.3000000000000007</v>
      </c>
      <c r="D74">
        <v>80000</v>
      </c>
      <c r="E74">
        <v>76000</v>
      </c>
      <c r="F74">
        <v>0</v>
      </c>
      <c r="G74" t="s">
        <v>14</v>
      </c>
      <c r="H74">
        <v>345000</v>
      </c>
      <c r="I74">
        <v>245000</v>
      </c>
      <c r="J74">
        <v>360</v>
      </c>
      <c r="K74" t="str">
        <f t="shared" si="5"/>
        <v>0-10</v>
      </c>
      <c r="L74" s="13">
        <f t="shared" si="6"/>
        <v>71.014492753623188</v>
      </c>
      <c r="M74" t="str">
        <f t="shared" si="7"/>
        <v>not selected</v>
      </c>
      <c r="N74" t="str">
        <f t="shared" si="8"/>
        <v>not selected</v>
      </c>
      <c r="O74">
        <v>71.014492753623188</v>
      </c>
      <c r="P74">
        <v>12</v>
      </c>
      <c r="Q74">
        <v>360</v>
      </c>
      <c r="R74">
        <v>0</v>
      </c>
      <c r="S74">
        <v>4.6738606853540849</v>
      </c>
      <c r="T74" t="str">
        <f t="shared" si="9"/>
        <v>Less than 80%</v>
      </c>
      <c r="U74">
        <v>71.014492753623188</v>
      </c>
      <c r="V74">
        <v>12</v>
      </c>
      <c r="W74">
        <v>0</v>
      </c>
    </row>
    <row r="75" spans="1:29">
      <c r="A75">
        <v>68</v>
      </c>
      <c r="B75">
        <v>34</v>
      </c>
      <c r="C75">
        <v>3.31</v>
      </c>
      <c r="D75">
        <v>85800</v>
      </c>
      <c r="E75">
        <v>376000</v>
      </c>
      <c r="F75">
        <v>0</v>
      </c>
      <c r="G75" t="s">
        <v>14</v>
      </c>
      <c r="H75">
        <v>635000</v>
      </c>
      <c r="I75">
        <v>475000</v>
      </c>
      <c r="J75">
        <v>360</v>
      </c>
      <c r="K75" t="str">
        <f t="shared" si="5"/>
        <v>0-10</v>
      </c>
      <c r="L75" s="13">
        <f t="shared" si="6"/>
        <v>74.803149606299215</v>
      </c>
      <c r="M75" t="str">
        <f t="shared" si="7"/>
        <v>not selected</v>
      </c>
      <c r="N75" t="str">
        <f t="shared" si="8"/>
        <v>selected</v>
      </c>
      <c r="O75">
        <v>74.803149606299215</v>
      </c>
      <c r="P75">
        <v>39</v>
      </c>
      <c r="Q75">
        <v>360</v>
      </c>
      <c r="R75">
        <v>0</v>
      </c>
      <c r="S75">
        <v>4.9154583194046735</v>
      </c>
      <c r="T75" t="str">
        <f t="shared" si="9"/>
        <v>Less than 80%</v>
      </c>
      <c r="U75">
        <v>74.803149606299215</v>
      </c>
      <c r="V75">
        <v>39</v>
      </c>
      <c r="W75">
        <v>0</v>
      </c>
    </row>
    <row r="76" spans="1:29">
      <c r="A76">
        <v>69</v>
      </c>
      <c r="B76">
        <v>48</v>
      </c>
      <c r="C76">
        <v>10.17</v>
      </c>
      <c r="D76">
        <v>73700</v>
      </c>
      <c r="E76">
        <v>96000</v>
      </c>
      <c r="F76">
        <v>1</v>
      </c>
      <c r="G76" t="s">
        <v>14</v>
      </c>
      <c r="H76">
        <v>365000</v>
      </c>
      <c r="I76">
        <v>285000</v>
      </c>
      <c r="J76">
        <v>360</v>
      </c>
      <c r="K76" t="str">
        <f t="shared" si="5"/>
        <v>10-20</v>
      </c>
      <c r="L76" s="13">
        <f t="shared" si="6"/>
        <v>78.082191780821915</v>
      </c>
      <c r="M76" t="str">
        <f t="shared" si="7"/>
        <v>not selected</v>
      </c>
      <c r="N76" t="str">
        <f t="shared" si="8"/>
        <v>not selected</v>
      </c>
      <c r="O76">
        <v>78.082191780821915</v>
      </c>
      <c r="P76">
        <v>24</v>
      </c>
      <c r="Q76">
        <v>360</v>
      </c>
      <c r="R76">
        <v>1</v>
      </c>
      <c r="S76">
        <v>5.713482361284818</v>
      </c>
      <c r="T76" t="str">
        <f t="shared" si="9"/>
        <v>Less than 80%</v>
      </c>
      <c r="U76">
        <v>78.082191780821915</v>
      </c>
      <c r="V76">
        <v>24</v>
      </c>
      <c r="W76">
        <v>1</v>
      </c>
    </row>
    <row r="77" spans="1:29">
      <c r="A77">
        <v>70</v>
      </c>
      <c r="B77">
        <v>5</v>
      </c>
      <c r="C77">
        <v>10.08</v>
      </c>
      <c r="D77">
        <v>71400</v>
      </c>
      <c r="E77">
        <v>155000</v>
      </c>
      <c r="F77">
        <v>0</v>
      </c>
      <c r="G77" t="s">
        <v>14</v>
      </c>
      <c r="H77">
        <v>385000</v>
      </c>
      <c r="I77">
        <v>245000</v>
      </c>
      <c r="J77">
        <v>360</v>
      </c>
      <c r="K77" t="str">
        <f t="shared" si="5"/>
        <v>10-20</v>
      </c>
      <c r="L77" s="13">
        <f t="shared" si="6"/>
        <v>63.636363636363633</v>
      </c>
      <c r="M77" t="str">
        <f t="shared" si="7"/>
        <v>not selected</v>
      </c>
      <c r="N77" t="str">
        <f t="shared" si="8"/>
        <v>not selected</v>
      </c>
      <c r="O77">
        <v>63.636363636363633</v>
      </c>
      <c r="P77">
        <v>6</v>
      </c>
      <c r="Q77">
        <v>360</v>
      </c>
      <c r="R77">
        <v>0</v>
      </c>
      <c r="S77">
        <v>3.9244197787571098</v>
      </c>
      <c r="T77" t="str">
        <f t="shared" si="9"/>
        <v>Less than 80%</v>
      </c>
      <c r="U77">
        <v>63.636363636363633</v>
      </c>
      <c r="V77">
        <v>6</v>
      </c>
      <c r="W77">
        <v>0</v>
      </c>
    </row>
    <row r="78" spans="1:29">
      <c r="A78">
        <v>71</v>
      </c>
      <c r="B78">
        <v>6</v>
      </c>
      <c r="C78">
        <v>35.67</v>
      </c>
      <c r="D78">
        <v>83300</v>
      </c>
      <c r="E78">
        <v>306000</v>
      </c>
      <c r="F78">
        <v>0</v>
      </c>
      <c r="G78" t="s">
        <v>14</v>
      </c>
      <c r="H78">
        <v>835000</v>
      </c>
      <c r="I78">
        <v>535000</v>
      </c>
      <c r="J78">
        <v>360</v>
      </c>
      <c r="K78" t="str">
        <f t="shared" si="5"/>
        <v>30-40</v>
      </c>
      <c r="L78" s="13">
        <f t="shared" si="6"/>
        <v>64.071856287425149</v>
      </c>
      <c r="M78" t="str">
        <f t="shared" si="7"/>
        <v>not selected</v>
      </c>
      <c r="N78" t="str">
        <f t="shared" si="8"/>
        <v>selected</v>
      </c>
      <c r="O78">
        <v>64.071856287425149</v>
      </c>
      <c r="P78">
        <v>24</v>
      </c>
      <c r="Q78">
        <v>360</v>
      </c>
      <c r="R78">
        <v>0</v>
      </c>
      <c r="S78">
        <v>3.9027580532810537</v>
      </c>
      <c r="T78" t="str">
        <f t="shared" si="9"/>
        <v>Less than 80%</v>
      </c>
      <c r="U78">
        <v>64.071856287425149</v>
      </c>
      <c r="V78">
        <v>24</v>
      </c>
      <c r="W78">
        <v>0</v>
      </c>
    </row>
    <row r="79" spans="1:29">
      <c r="A79">
        <v>72</v>
      </c>
      <c r="B79">
        <v>41</v>
      </c>
      <c r="C79">
        <v>9.81</v>
      </c>
      <c r="D79">
        <v>72200</v>
      </c>
      <c r="E79">
        <v>197000</v>
      </c>
      <c r="F79">
        <v>0</v>
      </c>
      <c r="G79" t="s">
        <v>14</v>
      </c>
      <c r="H79">
        <v>275000</v>
      </c>
      <c r="I79">
        <v>195000</v>
      </c>
      <c r="J79">
        <v>360</v>
      </c>
      <c r="K79" t="str">
        <f t="shared" si="5"/>
        <v>0-10</v>
      </c>
      <c r="L79" s="13">
        <f t="shared" si="6"/>
        <v>70.909090909090907</v>
      </c>
      <c r="M79" t="str">
        <f t="shared" si="7"/>
        <v>not selected</v>
      </c>
      <c r="N79" t="str">
        <f t="shared" si="8"/>
        <v>not selected</v>
      </c>
      <c r="O79">
        <v>70.909090909090907</v>
      </c>
      <c r="P79">
        <v>31</v>
      </c>
      <c r="Q79">
        <v>360</v>
      </c>
      <c r="R79">
        <v>0</v>
      </c>
      <c r="S79">
        <v>4.9867957914417431</v>
      </c>
      <c r="T79" t="str">
        <f t="shared" si="9"/>
        <v>Less than 80%</v>
      </c>
      <c r="U79">
        <v>70.909090909090907</v>
      </c>
      <c r="V79">
        <v>31</v>
      </c>
      <c r="W79">
        <v>0</v>
      </c>
      <c r="Y79" s="24"/>
      <c r="Z79" s="24"/>
      <c r="AA79" s="24"/>
      <c r="AB79" s="24"/>
      <c r="AC79" s="24"/>
    </row>
    <row r="80" spans="1:29">
      <c r="A80">
        <v>73</v>
      </c>
      <c r="B80">
        <v>53</v>
      </c>
      <c r="C80">
        <v>24.46</v>
      </c>
      <c r="D80">
        <v>106900</v>
      </c>
      <c r="E80">
        <v>124000</v>
      </c>
      <c r="F80">
        <v>0</v>
      </c>
      <c r="G80" t="s">
        <v>14</v>
      </c>
      <c r="H80">
        <v>865000</v>
      </c>
      <c r="I80">
        <v>495000</v>
      </c>
      <c r="J80">
        <v>360</v>
      </c>
      <c r="K80" t="str">
        <f t="shared" si="5"/>
        <v>20-30</v>
      </c>
      <c r="L80" s="13">
        <f t="shared" si="6"/>
        <v>57.225433526011557</v>
      </c>
      <c r="M80" t="str">
        <f t="shared" si="7"/>
        <v>not selected</v>
      </c>
      <c r="N80" t="str">
        <f t="shared" si="8"/>
        <v>not selected</v>
      </c>
      <c r="O80">
        <v>57.225433526011557</v>
      </c>
      <c r="P80">
        <v>31</v>
      </c>
      <c r="Q80">
        <v>360</v>
      </c>
      <c r="R80">
        <v>0</v>
      </c>
      <c r="S80">
        <v>3.6168572919815283</v>
      </c>
      <c r="T80" t="str">
        <f t="shared" si="9"/>
        <v>Less than 80%</v>
      </c>
      <c r="U80">
        <v>57.225433526011557</v>
      </c>
      <c r="V80">
        <v>31</v>
      </c>
      <c r="W80">
        <v>0</v>
      </c>
    </row>
    <row r="81" spans="1:32">
      <c r="A81">
        <v>74</v>
      </c>
      <c r="B81">
        <v>6</v>
      </c>
      <c r="C81">
        <v>41.16</v>
      </c>
      <c r="D81">
        <v>97800</v>
      </c>
      <c r="E81">
        <v>138000</v>
      </c>
      <c r="F81">
        <v>0</v>
      </c>
      <c r="G81" t="s">
        <v>14</v>
      </c>
      <c r="H81">
        <v>705000</v>
      </c>
      <c r="I81">
        <v>415000</v>
      </c>
      <c r="J81">
        <v>360</v>
      </c>
      <c r="K81" t="str">
        <f t="shared" si="5"/>
        <v>40-50</v>
      </c>
      <c r="L81" s="13">
        <f t="shared" si="6"/>
        <v>58.865248226950349</v>
      </c>
      <c r="M81" t="str">
        <f t="shared" si="7"/>
        <v>not selected</v>
      </c>
      <c r="N81" t="str">
        <f t="shared" si="8"/>
        <v>not selected</v>
      </c>
      <c r="O81">
        <v>58.865248226950349</v>
      </c>
      <c r="P81">
        <v>37</v>
      </c>
      <c r="Q81">
        <v>360</v>
      </c>
      <c r="R81">
        <v>0</v>
      </c>
      <c r="S81">
        <v>4.5147998374924168</v>
      </c>
      <c r="T81" t="str">
        <f t="shared" si="9"/>
        <v>Less than 80%</v>
      </c>
      <c r="U81">
        <v>58.865248226950349</v>
      </c>
      <c r="V81">
        <v>37</v>
      </c>
      <c r="W81">
        <v>0</v>
      </c>
    </row>
    <row r="82" spans="1:32">
      <c r="A82">
        <v>75</v>
      </c>
      <c r="B82">
        <v>17</v>
      </c>
      <c r="C82">
        <v>19.27</v>
      </c>
      <c r="D82">
        <v>89100</v>
      </c>
      <c r="E82">
        <v>259000</v>
      </c>
      <c r="F82">
        <v>0</v>
      </c>
      <c r="G82" t="s">
        <v>14</v>
      </c>
      <c r="H82">
        <v>505000</v>
      </c>
      <c r="I82">
        <v>425000</v>
      </c>
      <c r="J82">
        <v>360</v>
      </c>
      <c r="K82" t="str">
        <f t="shared" si="5"/>
        <v>10-20</v>
      </c>
      <c r="L82" s="13">
        <f t="shared" si="6"/>
        <v>84.158415841584159</v>
      </c>
      <c r="M82" t="str">
        <f t="shared" si="7"/>
        <v>not selected</v>
      </c>
      <c r="N82" t="str">
        <f t="shared" si="8"/>
        <v>not selected</v>
      </c>
      <c r="O82">
        <v>84.158415841584159</v>
      </c>
      <c r="P82">
        <v>14</v>
      </c>
      <c r="Q82">
        <v>360</v>
      </c>
      <c r="R82">
        <v>0</v>
      </c>
      <c r="S82">
        <v>3.7686942161672912</v>
      </c>
      <c r="T82" t="str">
        <f t="shared" si="9"/>
        <v>More than 80%</v>
      </c>
      <c r="U82">
        <v>84.158415841584159</v>
      </c>
      <c r="V82">
        <v>14</v>
      </c>
      <c r="W82">
        <v>0</v>
      </c>
    </row>
    <row r="83" spans="1:32">
      <c r="A83">
        <v>76</v>
      </c>
      <c r="B83">
        <v>30</v>
      </c>
      <c r="C83">
        <v>6.56</v>
      </c>
      <c r="D83">
        <v>76500</v>
      </c>
      <c r="E83">
        <v>106000</v>
      </c>
      <c r="F83">
        <v>0</v>
      </c>
      <c r="G83" t="s">
        <v>14</v>
      </c>
      <c r="H83">
        <v>395000</v>
      </c>
      <c r="I83">
        <v>285000</v>
      </c>
      <c r="J83">
        <v>360</v>
      </c>
      <c r="K83" t="str">
        <f t="shared" si="5"/>
        <v>0-10</v>
      </c>
      <c r="L83" s="13">
        <f t="shared" si="6"/>
        <v>72.151898734177209</v>
      </c>
      <c r="M83" t="str">
        <f t="shared" si="7"/>
        <v>not selected</v>
      </c>
      <c r="N83" t="str">
        <f t="shared" si="8"/>
        <v>not selected</v>
      </c>
      <c r="O83">
        <v>72.151898734177209</v>
      </c>
      <c r="P83">
        <v>36</v>
      </c>
      <c r="Q83">
        <v>360</v>
      </c>
      <c r="R83">
        <v>0</v>
      </c>
      <c r="S83">
        <v>3.990384441913108</v>
      </c>
      <c r="T83" t="str">
        <f t="shared" si="9"/>
        <v>Less than 80%</v>
      </c>
      <c r="U83">
        <v>72.151898734177209</v>
      </c>
      <c r="V83">
        <v>36</v>
      </c>
      <c r="W83">
        <v>0</v>
      </c>
    </row>
    <row r="84" spans="1:32">
      <c r="A84">
        <v>77</v>
      </c>
      <c r="B84">
        <v>6</v>
      </c>
      <c r="C84">
        <v>59.79</v>
      </c>
      <c r="D84">
        <v>83300</v>
      </c>
      <c r="E84">
        <v>212000</v>
      </c>
      <c r="F84">
        <v>0</v>
      </c>
      <c r="G84" t="s">
        <v>14</v>
      </c>
      <c r="H84">
        <v>835000</v>
      </c>
      <c r="I84">
        <v>545000</v>
      </c>
      <c r="J84">
        <v>360</v>
      </c>
      <c r="K84" t="str">
        <f t="shared" si="5"/>
        <v>More than 50</v>
      </c>
      <c r="L84" s="13">
        <f t="shared" si="6"/>
        <v>65.269461077844312</v>
      </c>
      <c r="M84" t="str">
        <f t="shared" si="7"/>
        <v>not selected</v>
      </c>
      <c r="N84" t="str">
        <f t="shared" si="8"/>
        <v>not selected</v>
      </c>
      <c r="O84">
        <v>65.269461077844312</v>
      </c>
      <c r="P84">
        <v>43</v>
      </c>
      <c r="Q84">
        <v>360</v>
      </c>
      <c r="R84">
        <v>0</v>
      </c>
      <c r="S84">
        <v>4.5454167752702279</v>
      </c>
      <c r="T84" t="str">
        <f t="shared" si="9"/>
        <v>Less than 80%</v>
      </c>
      <c r="U84">
        <v>65.269461077844312</v>
      </c>
      <c r="V84">
        <v>43</v>
      </c>
      <c r="W84">
        <v>0</v>
      </c>
      <c r="Y84" s="24"/>
      <c r="Z84" s="24"/>
      <c r="AA84" s="24"/>
      <c r="AB84" s="24"/>
      <c r="AC84" s="24"/>
      <c r="AD84" s="24"/>
      <c r="AE84" s="24"/>
      <c r="AF84" s="24"/>
    </row>
    <row r="85" spans="1:32">
      <c r="A85">
        <v>78</v>
      </c>
      <c r="B85">
        <v>13</v>
      </c>
      <c r="C85">
        <v>41.5</v>
      </c>
      <c r="D85">
        <v>82200</v>
      </c>
      <c r="E85">
        <v>46000</v>
      </c>
      <c r="F85">
        <v>0</v>
      </c>
      <c r="G85" t="s">
        <v>14</v>
      </c>
      <c r="H85">
        <v>385000</v>
      </c>
      <c r="I85">
        <v>265000</v>
      </c>
      <c r="J85">
        <v>360</v>
      </c>
      <c r="K85" t="str">
        <f t="shared" si="5"/>
        <v>40-50</v>
      </c>
      <c r="L85" s="13">
        <f t="shared" si="6"/>
        <v>68.831168831168839</v>
      </c>
      <c r="M85" t="str">
        <f t="shared" si="7"/>
        <v>not selected</v>
      </c>
      <c r="N85" t="str">
        <f t="shared" si="8"/>
        <v>not selected</v>
      </c>
      <c r="O85">
        <v>68.831168831168839</v>
      </c>
      <c r="P85">
        <v>22</v>
      </c>
      <c r="Q85">
        <v>360</v>
      </c>
      <c r="R85">
        <v>0</v>
      </c>
      <c r="S85">
        <v>4.4439220684959508</v>
      </c>
      <c r="T85" t="str">
        <f t="shared" si="9"/>
        <v>Less than 80%</v>
      </c>
      <c r="U85">
        <v>68.831168831168839</v>
      </c>
      <c r="V85">
        <v>22</v>
      </c>
      <c r="W85">
        <v>0</v>
      </c>
    </row>
    <row r="86" spans="1:32">
      <c r="A86">
        <v>79</v>
      </c>
      <c r="B86">
        <v>53</v>
      </c>
      <c r="C86">
        <v>21.32</v>
      </c>
      <c r="D86">
        <v>106900</v>
      </c>
      <c r="E86">
        <v>115000</v>
      </c>
      <c r="F86">
        <v>0</v>
      </c>
      <c r="G86" t="s">
        <v>14</v>
      </c>
      <c r="H86">
        <v>955000</v>
      </c>
      <c r="I86">
        <v>485000</v>
      </c>
      <c r="J86">
        <v>360</v>
      </c>
      <c r="K86" t="str">
        <f t="shared" si="5"/>
        <v>20-30</v>
      </c>
      <c r="L86" s="13">
        <f t="shared" si="6"/>
        <v>50.785340314136128</v>
      </c>
      <c r="M86" t="str">
        <f t="shared" si="7"/>
        <v>not selected</v>
      </c>
      <c r="N86" t="str">
        <f t="shared" si="8"/>
        <v>not selected</v>
      </c>
      <c r="O86">
        <v>50.785340314136128</v>
      </c>
      <c r="P86">
        <v>31</v>
      </c>
      <c r="Q86">
        <v>360</v>
      </c>
      <c r="R86">
        <v>0</v>
      </c>
      <c r="S86">
        <v>4.3094730975303417</v>
      </c>
      <c r="T86" t="str">
        <f t="shared" si="9"/>
        <v>Less than 80%</v>
      </c>
      <c r="U86">
        <v>50.785340314136128</v>
      </c>
      <c r="V86">
        <v>31</v>
      </c>
      <c r="W86">
        <v>0</v>
      </c>
    </row>
    <row r="87" spans="1:32">
      <c r="A87">
        <v>80</v>
      </c>
      <c r="B87">
        <v>6</v>
      </c>
      <c r="C87">
        <v>83.3</v>
      </c>
      <c r="D87">
        <v>75300</v>
      </c>
      <c r="E87">
        <v>120000</v>
      </c>
      <c r="F87">
        <v>0</v>
      </c>
      <c r="G87" t="s">
        <v>14</v>
      </c>
      <c r="H87">
        <v>355000</v>
      </c>
      <c r="I87">
        <v>185000</v>
      </c>
      <c r="J87">
        <v>180</v>
      </c>
      <c r="K87" t="str">
        <f t="shared" si="5"/>
        <v>More than 50</v>
      </c>
      <c r="L87" s="13">
        <f t="shared" si="6"/>
        <v>52.112676056338024</v>
      </c>
      <c r="M87" t="str">
        <f t="shared" si="7"/>
        <v>selected</v>
      </c>
      <c r="N87" t="str">
        <f t="shared" si="8"/>
        <v>not selected</v>
      </c>
      <c r="O87">
        <v>52.112676056338024</v>
      </c>
      <c r="P87">
        <v>42</v>
      </c>
      <c r="Q87">
        <v>180</v>
      </c>
      <c r="R87">
        <v>0</v>
      </c>
      <c r="S87">
        <v>4.2005935436352084</v>
      </c>
      <c r="T87" t="str">
        <f t="shared" si="9"/>
        <v>Less than 80%</v>
      </c>
      <c r="U87">
        <v>52.112676056338024</v>
      </c>
      <c r="V87">
        <v>42</v>
      </c>
      <c r="W87">
        <v>0</v>
      </c>
    </row>
    <row r="88" spans="1:32">
      <c r="A88">
        <v>81</v>
      </c>
      <c r="B88">
        <v>47</v>
      </c>
      <c r="C88">
        <v>19.309999999999999</v>
      </c>
      <c r="D88">
        <v>80700</v>
      </c>
      <c r="E88">
        <v>77000</v>
      </c>
      <c r="F88">
        <v>0</v>
      </c>
      <c r="G88" t="s">
        <v>14</v>
      </c>
      <c r="H88">
        <v>485000</v>
      </c>
      <c r="I88">
        <v>195000</v>
      </c>
      <c r="J88">
        <v>360</v>
      </c>
      <c r="K88" t="str">
        <f t="shared" si="5"/>
        <v>10-20</v>
      </c>
      <c r="L88" s="13">
        <f t="shared" si="6"/>
        <v>40.206185567010309</v>
      </c>
      <c r="M88" t="str">
        <f t="shared" si="7"/>
        <v>not selected</v>
      </c>
      <c r="N88" t="str">
        <f t="shared" si="8"/>
        <v>not selected</v>
      </c>
      <c r="O88">
        <v>40.206185567010309</v>
      </c>
      <c r="P88">
        <v>34</v>
      </c>
      <c r="Q88">
        <v>360</v>
      </c>
      <c r="R88">
        <v>0</v>
      </c>
      <c r="S88">
        <v>5.3485714226683063</v>
      </c>
      <c r="T88" t="str">
        <f t="shared" si="9"/>
        <v>Less than 80%</v>
      </c>
      <c r="U88">
        <v>40.206185567010309</v>
      </c>
      <c r="V88">
        <v>34</v>
      </c>
      <c r="W88">
        <v>0</v>
      </c>
    </row>
    <row r="89" spans="1:32">
      <c r="A89">
        <v>82</v>
      </c>
      <c r="B89">
        <v>12</v>
      </c>
      <c r="C89">
        <v>50.56</v>
      </c>
      <c r="D89">
        <v>68300</v>
      </c>
      <c r="E89">
        <v>74000</v>
      </c>
      <c r="F89">
        <v>0</v>
      </c>
      <c r="G89" t="s">
        <v>14</v>
      </c>
      <c r="H89">
        <v>275000</v>
      </c>
      <c r="I89">
        <v>215000</v>
      </c>
      <c r="J89">
        <v>360</v>
      </c>
      <c r="K89" t="str">
        <f t="shared" si="5"/>
        <v>More than 50</v>
      </c>
      <c r="L89" s="13">
        <f t="shared" si="6"/>
        <v>78.181818181818187</v>
      </c>
      <c r="M89" t="str">
        <f t="shared" si="7"/>
        <v>not selected</v>
      </c>
      <c r="N89" t="str">
        <f t="shared" si="8"/>
        <v>not selected</v>
      </c>
      <c r="O89">
        <v>78.181818181818187</v>
      </c>
      <c r="P89">
        <v>31</v>
      </c>
      <c r="Q89">
        <v>360</v>
      </c>
      <c r="R89">
        <v>0</v>
      </c>
      <c r="S89">
        <v>4.3880829025275814</v>
      </c>
      <c r="T89" t="str">
        <f t="shared" si="9"/>
        <v>Less than 80%</v>
      </c>
      <c r="U89">
        <v>78.181818181818187</v>
      </c>
      <c r="V89">
        <v>31</v>
      </c>
      <c r="W89">
        <v>0</v>
      </c>
    </row>
    <row r="90" spans="1:32">
      <c r="A90">
        <v>83</v>
      </c>
      <c r="B90">
        <v>42</v>
      </c>
      <c r="C90">
        <v>3.94</v>
      </c>
      <c r="D90">
        <v>69800</v>
      </c>
      <c r="E90">
        <v>113000</v>
      </c>
      <c r="F90">
        <v>0</v>
      </c>
      <c r="G90" t="s">
        <v>14</v>
      </c>
      <c r="H90">
        <v>275000</v>
      </c>
      <c r="I90">
        <v>235000</v>
      </c>
      <c r="J90">
        <v>360</v>
      </c>
      <c r="K90" t="str">
        <f t="shared" si="5"/>
        <v>0-10</v>
      </c>
      <c r="L90" s="13">
        <f t="shared" si="6"/>
        <v>85.454545454545453</v>
      </c>
      <c r="M90" t="str">
        <f t="shared" si="7"/>
        <v>not selected</v>
      </c>
      <c r="N90" t="str">
        <f t="shared" si="8"/>
        <v>not selected</v>
      </c>
      <c r="O90">
        <v>85.454545454545453</v>
      </c>
      <c r="P90">
        <v>31</v>
      </c>
      <c r="Q90">
        <v>360</v>
      </c>
      <c r="R90">
        <v>0</v>
      </c>
      <c r="S90">
        <v>5.0524252609846219</v>
      </c>
      <c r="T90" t="str">
        <f t="shared" si="9"/>
        <v>More than 80%</v>
      </c>
      <c r="U90">
        <v>85.454545454545453</v>
      </c>
      <c r="V90">
        <v>31</v>
      </c>
      <c r="W90">
        <v>0</v>
      </c>
    </row>
    <row r="91" spans="1:32">
      <c r="A91">
        <v>84</v>
      </c>
      <c r="B91">
        <v>49</v>
      </c>
      <c r="C91">
        <v>15.3</v>
      </c>
      <c r="D91">
        <v>85300</v>
      </c>
      <c r="E91">
        <v>74000</v>
      </c>
      <c r="F91">
        <v>0</v>
      </c>
      <c r="G91" t="s">
        <v>14</v>
      </c>
      <c r="H91">
        <v>315000</v>
      </c>
      <c r="I91">
        <v>245000</v>
      </c>
      <c r="J91">
        <v>360</v>
      </c>
      <c r="K91" t="str">
        <f t="shared" si="5"/>
        <v>10-20</v>
      </c>
      <c r="L91" s="13">
        <f t="shared" si="6"/>
        <v>77.777777777777786</v>
      </c>
      <c r="M91" t="str">
        <f t="shared" si="7"/>
        <v>not selected</v>
      </c>
      <c r="N91" t="str">
        <f t="shared" si="8"/>
        <v>not selected</v>
      </c>
      <c r="O91">
        <v>77.777777777777786</v>
      </c>
      <c r="P91">
        <v>33</v>
      </c>
      <c r="Q91">
        <v>360</v>
      </c>
      <c r="R91">
        <v>0</v>
      </c>
      <c r="S91">
        <v>5.1179786430718854</v>
      </c>
      <c r="T91" t="str">
        <f t="shared" si="9"/>
        <v>Less than 80%</v>
      </c>
      <c r="U91">
        <v>77.777777777777786</v>
      </c>
      <c r="V91">
        <v>33</v>
      </c>
      <c r="W91">
        <v>0</v>
      </c>
    </row>
    <row r="92" spans="1:32">
      <c r="A92">
        <v>85</v>
      </c>
      <c r="B92">
        <v>6</v>
      </c>
      <c r="C92">
        <v>37.36</v>
      </c>
      <c r="D92">
        <v>83300</v>
      </c>
      <c r="E92">
        <v>184000</v>
      </c>
      <c r="F92">
        <v>0</v>
      </c>
      <c r="G92" t="s">
        <v>14</v>
      </c>
      <c r="H92">
        <v>995000</v>
      </c>
      <c r="I92">
        <v>505000</v>
      </c>
      <c r="J92">
        <v>240</v>
      </c>
      <c r="K92" t="str">
        <f t="shared" si="5"/>
        <v>30-40</v>
      </c>
      <c r="L92" s="13">
        <f t="shared" si="6"/>
        <v>50.753768844221106</v>
      </c>
      <c r="M92" t="str">
        <f t="shared" si="7"/>
        <v>not selected</v>
      </c>
      <c r="N92" t="str">
        <f t="shared" si="8"/>
        <v>not selected</v>
      </c>
      <c r="O92">
        <v>50.753768844221106</v>
      </c>
      <c r="P92">
        <v>35</v>
      </c>
      <c r="Q92">
        <v>240</v>
      </c>
      <c r="R92">
        <v>0</v>
      </c>
      <c r="S92">
        <v>4.5626201173407646</v>
      </c>
      <c r="T92" t="str">
        <f t="shared" si="9"/>
        <v>Less than 80%</v>
      </c>
      <c r="U92">
        <v>50.753768844221106</v>
      </c>
      <c r="V92">
        <v>35</v>
      </c>
      <c r="W92">
        <v>0</v>
      </c>
    </row>
    <row r="93" spans="1:32">
      <c r="A93">
        <v>86</v>
      </c>
      <c r="B93">
        <v>49</v>
      </c>
      <c r="C93">
        <v>12.96</v>
      </c>
      <c r="D93">
        <v>71000</v>
      </c>
      <c r="E93">
        <v>61000</v>
      </c>
      <c r="F93">
        <v>0</v>
      </c>
      <c r="G93" t="s">
        <v>14</v>
      </c>
      <c r="H93">
        <v>335000</v>
      </c>
      <c r="I93">
        <v>245000</v>
      </c>
      <c r="J93">
        <v>360</v>
      </c>
      <c r="K93" t="str">
        <f t="shared" si="5"/>
        <v>10-20</v>
      </c>
      <c r="L93" s="13">
        <f t="shared" si="6"/>
        <v>73.134328358208961</v>
      </c>
      <c r="M93" t="str">
        <f t="shared" si="7"/>
        <v>not selected</v>
      </c>
      <c r="N93" t="str">
        <f t="shared" si="8"/>
        <v>not selected</v>
      </c>
      <c r="O93">
        <v>73.134328358208961</v>
      </c>
      <c r="P93">
        <v>38</v>
      </c>
      <c r="Q93">
        <v>360</v>
      </c>
      <c r="R93">
        <v>0</v>
      </c>
      <c r="S93">
        <v>4.8883234770024755</v>
      </c>
      <c r="T93" t="str">
        <f t="shared" si="9"/>
        <v>Less than 80%</v>
      </c>
      <c r="U93">
        <v>73.134328358208961</v>
      </c>
      <c r="V93">
        <v>38</v>
      </c>
      <c r="W93">
        <v>0</v>
      </c>
    </row>
    <row r="94" spans="1:32">
      <c r="A94">
        <v>87</v>
      </c>
      <c r="B94">
        <v>47</v>
      </c>
      <c r="C94">
        <v>15.02</v>
      </c>
      <c r="D94">
        <v>70800</v>
      </c>
      <c r="E94">
        <v>130000</v>
      </c>
      <c r="F94">
        <v>0</v>
      </c>
      <c r="G94" t="s">
        <v>14</v>
      </c>
      <c r="H94">
        <v>295000</v>
      </c>
      <c r="I94">
        <v>185000</v>
      </c>
      <c r="J94">
        <v>180</v>
      </c>
      <c r="K94" t="str">
        <f t="shared" si="5"/>
        <v>10-20</v>
      </c>
      <c r="L94" s="13">
        <f t="shared" si="6"/>
        <v>62.711864406779661</v>
      </c>
      <c r="M94" t="str">
        <f t="shared" si="7"/>
        <v>selected</v>
      </c>
      <c r="N94" t="str">
        <f t="shared" si="8"/>
        <v>not selected</v>
      </c>
      <c r="O94">
        <v>62.711864406779661</v>
      </c>
      <c r="P94">
        <v>39</v>
      </c>
      <c r="Q94">
        <v>180</v>
      </c>
      <c r="R94">
        <v>0</v>
      </c>
      <c r="S94">
        <v>5.3697175215938193</v>
      </c>
      <c r="T94" t="str">
        <f t="shared" si="9"/>
        <v>Less than 80%</v>
      </c>
      <c r="U94">
        <v>62.711864406779661</v>
      </c>
      <c r="V94">
        <v>39</v>
      </c>
      <c r="W94">
        <v>0</v>
      </c>
    </row>
    <row r="95" spans="1:32">
      <c r="A95">
        <v>88</v>
      </c>
      <c r="B95">
        <v>12</v>
      </c>
      <c r="C95">
        <v>31.07</v>
      </c>
      <c r="D95">
        <v>58800</v>
      </c>
      <c r="E95">
        <v>139000</v>
      </c>
      <c r="F95">
        <v>0</v>
      </c>
      <c r="G95" t="s">
        <v>14</v>
      </c>
      <c r="H95">
        <v>375000</v>
      </c>
      <c r="I95">
        <v>305000</v>
      </c>
      <c r="J95">
        <v>240</v>
      </c>
      <c r="K95" t="str">
        <f t="shared" si="5"/>
        <v>30-40</v>
      </c>
      <c r="L95" s="13">
        <f t="shared" si="6"/>
        <v>81.333333333333329</v>
      </c>
      <c r="M95" t="str">
        <f t="shared" si="7"/>
        <v>not selected</v>
      </c>
      <c r="N95" t="str">
        <f t="shared" si="8"/>
        <v>not selected</v>
      </c>
      <c r="O95">
        <v>81.333333333333329</v>
      </c>
      <c r="P95">
        <v>21</v>
      </c>
      <c r="Q95">
        <v>240</v>
      </c>
      <c r="R95">
        <v>0</v>
      </c>
      <c r="S95">
        <v>5.3123916361646888</v>
      </c>
      <c r="T95" t="str">
        <f t="shared" si="9"/>
        <v>More than 80%</v>
      </c>
      <c r="U95">
        <v>81.333333333333329</v>
      </c>
      <c r="V95">
        <v>21</v>
      </c>
      <c r="W95">
        <v>0</v>
      </c>
    </row>
    <row r="96" spans="1:32">
      <c r="A96">
        <v>89</v>
      </c>
      <c r="B96">
        <v>6</v>
      </c>
      <c r="C96">
        <v>57.69</v>
      </c>
      <c r="D96">
        <v>86700</v>
      </c>
      <c r="E96">
        <v>82000</v>
      </c>
      <c r="F96">
        <v>0</v>
      </c>
      <c r="G96" t="s">
        <v>14</v>
      </c>
      <c r="H96">
        <v>475000</v>
      </c>
      <c r="I96">
        <v>325000</v>
      </c>
      <c r="J96">
        <v>360</v>
      </c>
      <c r="K96" t="str">
        <f t="shared" si="5"/>
        <v>More than 50</v>
      </c>
      <c r="L96" s="13">
        <f t="shared" si="6"/>
        <v>68.421052631578945</v>
      </c>
      <c r="M96" t="str">
        <f t="shared" si="7"/>
        <v>not selected</v>
      </c>
      <c r="N96" t="str">
        <f t="shared" si="8"/>
        <v>not selected</v>
      </c>
      <c r="O96">
        <v>68.421052631578945</v>
      </c>
      <c r="P96">
        <v>11</v>
      </c>
      <c r="Q96">
        <v>360</v>
      </c>
      <c r="R96">
        <v>0</v>
      </c>
      <c r="S96">
        <v>3.4009162301964286</v>
      </c>
      <c r="T96" t="str">
        <f t="shared" si="9"/>
        <v>Less than 80%</v>
      </c>
      <c r="U96">
        <v>68.421052631578945</v>
      </c>
      <c r="V96">
        <v>11</v>
      </c>
      <c r="W96">
        <v>0</v>
      </c>
      <c r="X96" s="23"/>
    </row>
    <row r="97" spans="1:31">
      <c r="A97">
        <v>90</v>
      </c>
      <c r="B97">
        <v>6</v>
      </c>
      <c r="C97">
        <v>39.57</v>
      </c>
      <c r="D97">
        <v>83300</v>
      </c>
      <c r="E97">
        <v>148000</v>
      </c>
      <c r="F97">
        <v>0</v>
      </c>
      <c r="G97" t="s">
        <v>14</v>
      </c>
      <c r="H97">
        <v>755000</v>
      </c>
      <c r="I97">
        <v>405000</v>
      </c>
      <c r="J97">
        <v>360</v>
      </c>
      <c r="K97" t="str">
        <f t="shared" si="5"/>
        <v>30-40</v>
      </c>
      <c r="L97" s="13">
        <f t="shared" si="6"/>
        <v>53.642384105960261</v>
      </c>
      <c r="M97" t="str">
        <f t="shared" si="7"/>
        <v>not selected</v>
      </c>
      <c r="N97" t="str">
        <f t="shared" si="8"/>
        <v>not selected</v>
      </c>
      <c r="O97">
        <v>53.642384105960261</v>
      </c>
      <c r="P97">
        <v>34</v>
      </c>
      <c r="Q97">
        <v>360</v>
      </c>
      <c r="R97">
        <v>0</v>
      </c>
      <c r="S97">
        <v>5.0828676992179487</v>
      </c>
      <c r="T97" t="str">
        <f t="shared" si="9"/>
        <v>Less than 80%</v>
      </c>
      <c r="U97">
        <v>53.642384105960261</v>
      </c>
      <c r="V97">
        <v>34</v>
      </c>
      <c r="W97">
        <v>0</v>
      </c>
    </row>
    <row r="98" spans="1:31">
      <c r="A98">
        <v>91</v>
      </c>
      <c r="B98">
        <v>37</v>
      </c>
      <c r="C98">
        <v>10.96</v>
      </c>
      <c r="D98">
        <v>94100</v>
      </c>
      <c r="E98">
        <v>103000</v>
      </c>
      <c r="F98">
        <v>0</v>
      </c>
      <c r="G98" t="s">
        <v>14</v>
      </c>
      <c r="H98">
        <v>445000</v>
      </c>
      <c r="I98">
        <v>395000</v>
      </c>
      <c r="J98">
        <v>360</v>
      </c>
      <c r="K98" t="str">
        <f t="shared" si="5"/>
        <v>10-20</v>
      </c>
      <c r="L98" s="13">
        <f t="shared" si="6"/>
        <v>88.764044943820224</v>
      </c>
      <c r="M98" t="str">
        <f t="shared" si="7"/>
        <v>not selected</v>
      </c>
      <c r="N98" t="str">
        <f t="shared" si="8"/>
        <v>not selected</v>
      </c>
      <c r="O98">
        <v>88.764044943820224</v>
      </c>
      <c r="P98">
        <v>19</v>
      </c>
      <c r="Q98">
        <v>360</v>
      </c>
      <c r="R98">
        <v>0</v>
      </c>
      <c r="S98">
        <v>4.252730888648534</v>
      </c>
      <c r="T98" t="str">
        <f t="shared" si="9"/>
        <v>More than 80%</v>
      </c>
      <c r="U98">
        <v>88.764044943820224</v>
      </c>
      <c r="V98">
        <v>19</v>
      </c>
      <c r="W98">
        <v>0</v>
      </c>
    </row>
    <row r="99" spans="1:31">
      <c r="A99">
        <v>92</v>
      </c>
      <c r="B99">
        <v>51</v>
      </c>
      <c r="C99">
        <v>11.61</v>
      </c>
      <c r="D99">
        <v>89400</v>
      </c>
      <c r="E99">
        <v>218000</v>
      </c>
      <c r="F99">
        <v>0</v>
      </c>
      <c r="G99" t="s">
        <v>14</v>
      </c>
      <c r="H99">
        <v>435000</v>
      </c>
      <c r="I99">
        <v>305000</v>
      </c>
      <c r="J99">
        <v>180</v>
      </c>
      <c r="K99" t="str">
        <f t="shared" si="5"/>
        <v>10-20</v>
      </c>
      <c r="L99" s="13">
        <f t="shared" si="6"/>
        <v>70.114942528735639</v>
      </c>
      <c r="M99" t="str">
        <f t="shared" si="7"/>
        <v>selected</v>
      </c>
      <c r="N99" t="str">
        <f t="shared" si="8"/>
        <v>not selected</v>
      </c>
      <c r="O99">
        <v>70.114942528735639</v>
      </c>
      <c r="P99">
        <v>25</v>
      </c>
      <c r="Q99">
        <v>180</v>
      </c>
      <c r="R99">
        <v>0</v>
      </c>
      <c r="S99">
        <v>4.4733440403984339</v>
      </c>
      <c r="T99" t="str">
        <f t="shared" si="9"/>
        <v>Less than 80%</v>
      </c>
      <c r="U99">
        <v>70.114942528735639</v>
      </c>
      <c r="V99">
        <v>25</v>
      </c>
      <c r="W99">
        <v>0</v>
      </c>
    </row>
    <row r="100" spans="1:31">
      <c r="A100">
        <v>93</v>
      </c>
      <c r="B100">
        <v>20</v>
      </c>
      <c r="C100">
        <v>28.67</v>
      </c>
      <c r="D100">
        <v>64600</v>
      </c>
      <c r="E100">
        <v>164000</v>
      </c>
      <c r="F100">
        <v>0</v>
      </c>
      <c r="G100" t="s">
        <v>14</v>
      </c>
      <c r="H100">
        <v>425000</v>
      </c>
      <c r="I100">
        <v>285000</v>
      </c>
      <c r="J100">
        <v>180</v>
      </c>
      <c r="K100" t="str">
        <f t="shared" si="5"/>
        <v>20-30</v>
      </c>
      <c r="L100" s="13">
        <f t="shared" si="6"/>
        <v>67.058823529411754</v>
      </c>
      <c r="M100" t="str">
        <f t="shared" si="7"/>
        <v>selected</v>
      </c>
      <c r="N100" t="str">
        <f t="shared" si="8"/>
        <v>not selected</v>
      </c>
      <c r="O100">
        <v>67.058823529411754</v>
      </c>
      <c r="P100">
        <v>27</v>
      </c>
      <c r="Q100">
        <v>180</v>
      </c>
      <c r="R100">
        <v>0</v>
      </c>
      <c r="S100">
        <v>5.0593107147187135</v>
      </c>
      <c r="T100" t="str">
        <f t="shared" si="9"/>
        <v>Less than 80%</v>
      </c>
      <c r="U100">
        <v>67.058823529411754</v>
      </c>
      <c r="V100">
        <v>27</v>
      </c>
      <c r="W100">
        <v>0</v>
      </c>
    </row>
    <row r="101" spans="1:31">
      <c r="A101">
        <v>94</v>
      </c>
      <c r="B101">
        <v>34</v>
      </c>
      <c r="C101">
        <v>14.01</v>
      </c>
      <c r="D101">
        <v>96500</v>
      </c>
      <c r="E101">
        <v>244000</v>
      </c>
      <c r="F101">
        <v>0</v>
      </c>
      <c r="G101" t="s">
        <v>14</v>
      </c>
      <c r="H101">
        <v>445000</v>
      </c>
      <c r="I101">
        <v>395000</v>
      </c>
      <c r="J101">
        <v>360</v>
      </c>
      <c r="K101" t="str">
        <f t="shared" si="5"/>
        <v>10-20</v>
      </c>
      <c r="L101" s="13">
        <f t="shared" si="6"/>
        <v>88.764044943820224</v>
      </c>
      <c r="M101" t="str">
        <f t="shared" si="7"/>
        <v>not selected</v>
      </c>
      <c r="N101" t="str">
        <f t="shared" si="8"/>
        <v>not selected</v>
      </c>
      <c r="O101">
        <v>88.764044943820224</v>
      </c>
      <c r="P101">
        <v>39</v>
      </c>
      <c r="Q101">
        <v>360</v>
      </c>
      <c r="R101">
        <v>0</v>
      </c>
      <c r="S101">
        <v>4.7327925174891412</v>
      </c>
      <c r="T101" t="str">
        <f t="shared" si="9"/>
        <v>More than 80%</v>
      </c>
      <c r="U101">
        <v>88.764044943820224</v>
      </c>
      <c r="V101">
        <v>39</v>
      </c>
      <c r="W101">
        <v>0</v>
      </c>
    </row>
    <row r="102" spans="1:31">
      <c r="A102">
        <v>95</v>
      </c>
      <c r="B102">
        <v>4</v>
      </c>
      <c r="C102">
        <v>22.68</v>
      </c>
      <c r="D102">
        <v>77800</v>
      </c>
      <c r="E102">
        <v>51000</v>
      </c>
      <c r="F102">
        <v>0</v>
      </c>
      <c r="G102" t="s">
        <v>14</v>
      </c>
      <c r="H102">
        <v>355000</v>
      </c>
      <c r="I102">
        <v>95000</v>
      </c>
      <c r="J102">
        <v>360</v>
      </c>
      <c r="K102" t="str">
        <f t="shared" si="5"/>
        <v>20-30</v>
      </c>
      <c r="L102" s="13">
        <f t="shared" si="6"/>
        <v>26.760563380281688</v>
      </c>
      <c r="M102" t="str">
        <f t="shared" si="7"/>
        <v>not selected</v>
      </c>
      <c r="N102" t="str">
        <f t="shared" si="8"/>
        <v>not selected</v>
      </c>
      <c r="O102">
        <v>26.760563380281688</v>
      </c>
      <c r="P102">
        <v>15</v>
      </c>
      <c r="Q102">
        <v>360</v>
      </c>
      <c r="R102">
        <v>0</v>
      </c>
      <c r="S102">
        <v>3.4456494940823106</v>
      </c>
      <c r="T102" t="str">
        <f t="shared" si="9"/>
        <v>Less than 80%</v>
      </c>
      <c r="U102">
        <v>26.760563380281688</v>
      </c>
      <c r="V102">
        <v>15</v>
      </c>
      <c r="W102">
        <v>0</v>
      </c>
    </row>
    <row r="103" spans="1:31">
      <c r="A103">
        <v>96</v>
      </c>
      <c r="B103">
        <v>48</v>
      </c>
      <c r="C103">
        <v>15.97</v>
      </c>
      <c r="D103">
        <v>97600</v>
      </c>
      <c r="E103">
        <v>475000</v>
      </c>
      <c r="F103">
        <v>0</v>
      </c>
      <c r="G103" t="s">
        <v>14</v>
      </c>
      <c r="H103">
        <v>505000</v>
      </c>
      <c r="I103">
        <v>375000</v>
      </c>
      <c r="J103">
        <v>360</v>
      </c>
      <c r="K103" t="str">
        <f t="shared" si="5"/>
        <v>10-20</v>
      </c>
      <c r="L103" s="13">
        <f t="shared" si="6"/>
        <v>74.257425742574256</v>
      </c>
      <c r="M103" t="str">
        <f t="shared" si="7"/>
        <v>not selected</v>
      </c>
      <c r="N103" t="str">
        <f t="shared" si="8"/>
        <v>selected</v>
      </c>
      <c r="O103">
        <v>74.257425742574256</v>
      </c>
      <c r="P103">
        <v>39</v>
      </c>
      <c r="Q103">
        <v>360</v>
      </c>
      <c r="R103">
        <v>0</v>
      </c>
      <c r="S103">
        <v>4.5088085421271602</v>
      </c>
      <c r="T103" t="str">
        <f t="shared" si="9"/>
        <v>Less than 80%</v>
      </c>
      <c r="U103">
        <v>74.257425742574256</v>
      </c>
      <c r="V103">
        <v>39</v>
      </c>
      <c r="W103">
        <v>0</v>
      </c>
    </row>
    <row r="104" spans="1:31">
      <c r="A104">
        <v>97</v>
      </c>
      <c r="B104">
        <v>36</v>
      </c>
      <c r="C104">
        <v>21.42</v>
      </c>
      <c r="D104">
        <v>76200</v>
      </c>
      <c r="E104">
        <v>80000</v>
      </c>
      <c r="F104">
        <v>0</v>
      </c>
      <c r="G104" t="s">
        <v>14</v>
      </c>
      <c r="H104">
        <v>135000</v>
      </c>
      <c r="I104">
        <v>125000</v>
      </c>
      <c r="J104">
        <v>360</v>
      </c>
      <c r="K104" t="str">
        <f t="shared" si="5"/>
        <v>20-30</v>
      </c>
      <c r="L104" s="13">
        <f t="shared" si="6"/>
        <v>92.592592592592595</v>
      </c>
      <c r="M104" t="str">
        <f t="shared" si="7"/>
        <v>not selected</v>
      </c>
      <c r="N104" t="str">
        <f t="shared" si="8"/>
        <v>not selected</v>
      </c>
      <c r="O104">
        <v>92.592592592592595</v>
      </c>
      <c r="P104">
        <v>28</v>
      </c>
      <c r="Q104">
        <v>360</v>
      </c>
      <c r="R104">
        <v>0</v>
      </c>
      <c r="S104">
        <v>5.7764128960528041</v>
      </c>
      <c r="T104" t="str">
        <f t="shared" si="9"/>
        <v>More than 80%</v>
      </c>
      <c r="U104">
        <v>92.592592592592595</v>
      </c>
      <c r="V104">
        <v>28</v>
      </c>
      <c r="W104">
        <v>0</v>
      </c>
      <c r="X104" s="24"/>
      <c r="Y104" s="24"/>
      <c r="Z104" s="24"/>
      <c r="AA104" s="24"/>
      <c r="AB104" s="24"/>
    </row>
    <row r="105" spans="1:31">
      <c r="A105">
        <v>98</v>
      </c>
      <c r="B105">
        <v>55</v>
      </c>
      <c r="C105">
        <v>2.5499999999999998</v>
      </c>
      <c r="D105">
        <v>102800</v>
      </c>
      <c r="E105">
        <v>63000</v>
      </c>
      <c r="F105">
        <v>0</v>
      </c>
      <c r="G105" t="s">
        <v>15</v>
      </c>
      <c r="H105">
        <v>295000</v>
      </c>
      <c r="I105">
        <v>185000</v>
      </c>
      <c r="J105">
        <v>240</v>
      </c>
      <c r="K105" t="str">
        <f t="shared" si="5"/>
        <v>0-10</v>
      </c>
      <c r="L105" s="13">
        <f t="shared" si="6"/>
        <v>62.711864406779661</v>
      </c>
      <c r="M105" t="str">
        <f t="shared" si="7"/>
        <v>not selected</v>
      </c>
      <c r="N105" t="str">
        <f t="shared" si="8"/>
        <v>not selected</v>
      </c>
      <c r="O105">
        <v>62.711864406779661</v>
      </c>
      <c r="P105">
        <v>35</v>
      </c>
      <c r="Q105">
        <v>240</v>
      </c>
      <c r="R105">
        <v>0</v>
      </c>
      <c r="S105">
        <v>4.634041596575412</v>
      </c>
      <c r="T105" t="str">
        <f t="shared" si="9"/>
        <v>Less than 80%</v>
      </c>
      <c r="U105">
        <v>62.711864406779661</v>
      </c>
      <c r="V105">
        <v>35</v>
      </c>
      <c r="W105">
        <v>0</v>
      </c>
    </row>
    <row r="106" spans="1:31">
      <c r="A106">
        <v>99</v>
      </c>
      <c r="B106">
        <v>50</v>
      </c>
      <c r="C106">
        <v>4.17</v>
      </c>
      <c r="D106">
        <v>79300</v>
      </c>
      <c r="E106">
        <v>116000</v>
      </c>
      <c r="F106">
        <v>1</v>
      </c>
      <c r="G106" t="s">
        <v>15</v>
      </c>
      <c r="H106">
        <v>255000</v>
      </c>
      <c r="I106">
        <v>245000</v>
      </c>
      <c r="J106">
        <v>360</v>
      </c>
      <c r="K106" t="str">
        <f t="shared" si="5"/>
        <v>0-10</v>
      </c>
      <c r="L106" s="13">
        <f t="shared" si="6"/>
        <v>96.078431372549019</v>
      </c>
      <c r="M106" t="str">
        <f t="shared" si="7"/>
        <v>not selected</v>
      </c>
      <c r="N106" t="str">
        <f t="shared" si="8"/>
        <v>not selected</v>
      </c>
      <c r="O106">
        <v>96.078431372549019</v>
      </c>
      <c r="P106">
        <v>28</v>
      </c>
      <c r="Q106">
        <v>360</v>
      </c>
      <c r="R106">
        <v>1</v>
      </c>
      <c r="S106">
        <v>4.0945523216426434</v>
      </c>
      <c r="T106" t="str">
        <f t="shared" si="9"/>
        <v>More than 80%</v>
      </c>
      <c r="U106">
        <v>96.078431372549019</v>
      </c>
      <c r="V106">
        <v>28</v>
      </c>
      <c r="W106">
        <v>1</v>
      </c>
    </row>
    <row r="107" spans="1:31">
      <c r="A107">
        <v>100</v>
      </c>
      <c r="B107">
        <v>42</v>
      </c>
      <c r="C107">
        <v>3.14</v>
      </c>
      <c r="D107">
        <v>82300</v>
      </c>
      <c r="E107">
        <v>88000</v>
      </c>
      <c r="F107">
        <v>1</v>
      </c>
      <c r="G107" t="s">
        <v>15</v>
      </c>
      <c r="H107">
        <v>155000</v>
      </c>
      <c r="I107">
        <v>95000</v>
      </c>
      <c r="J107">
        <v>180</v>
      </c>
      <c r="K107" t="str">
        <f t="shared" si="5"/>
        <v>0-10</v>
      </c>
      <c r="L107" s="13">
        <f t="shared" si="6"/>
        <v>61.29032258064516</v>
      </c>
      <c r="M107" t="str">
        <f t="shared" si="7"/>
        <v>selected</v>
      </c>
      <c r="N107" t="str">
        <f t="shared" si="8"/>
        <v>not selected</v>
      </c>
      <c r="O107">
        <v>61.29032258064516</v>
      </c>
      <c r="P107">
        <v>11</v>
      </c>
      <c r="Q107">
        <v>180</v>
      </c>
      <c r="R107">
        <v>1</v>
      </c>
      <c r="S107">
        <v>4.586296023076244</v>
      </c>
      <c r="T107" t="str">
        <f t="shared" si="9"/>
        <v>Less than 80%</v>
      </c>
      <c r="U107">
        <v>61.29032258064516</v>
      </c>
      <c r="V107">
        <v>11</v>
      </c>
      <c r="W107">
        <v>1</v>
      </c>
    </row>
    <row r="108" spans="1:31">
      <c r="A108">
        <v>101</v>
      </c>
      <c r="B108">
        <v>34</v>
      </c>
      <c r="C108">
        <v>48.53</v>
      </c>
      <c r="D108">
        <v>96500</v>
      </c>
      <c r="E108">
        <v>69000</v>
      </c>
      <c r="F108">
        <v>0</v>
      </c>
      <c r="G108" t="s">
        <v>15</v>
      </c>
      <c r="H108">
        <v>305000</v>
      </c>
      <c r="I108">
        <v>105000</v>
      </c>
      <c r="J108">
        <v>360</v>
      </c>
      <c r="K108" t="str">
        <f t="shared" si="5"/>
        <v>40-50</v>
      </c>
      <c r="L108" s="13">
        <f t="shared" si="6"/>
        <v>34.42622950819672</v>
      </c>
      <c r="M108" t="str">
        <f t="shared" si="7"/>
        <v>not selected</v>
      </c>
      <c r="N108" t="str">
        <f t="shared" si="8"/>
        <v>not selected</v>
      </c>
      <c r="O108">
        <v>34.42622950819672</v>
      </c>
      <c r="P108">
        <v>34</v>
      </c>
      <c r="Q108">
        <v>360</v>
      </c>
      <c r="R108">
        <v>0</v>
      </c>
      <c r="S108">
        <v>4.8150978713158903</v>
      </c>
      <c r="T108" t="str">
        <f t="shared" si="9"/>
        <v>Less than 80%</v>
      </c>
      <c r="U108">
        <v>34.42622950819672</v>
      </c>
      <c r="V108">
        <v>34</v>
      </c>
      <c r="W108">
        <v>0</v>
      </c>
    </row>
    <row r="109" spans="1:31">
      <c r="A109">
        <v>102</v>
      </c>
      <c r="B109">
        <v>1</v>
      </c>
      <c r="C109">
        <v>7.49</v>
      </c>
      <c r="D109">
        <v>81000</v>
      </c>
      <c r="E109">
        <v>110000</v>
      </c>
      <c r="F109">
        <v>0</v>
      </c>
      <c r="G109" t="s">
        <v>15</v>
      </c>
      <c r="H109">
        <v>285000</v>
      </c>
      <c r="I109">
        <v>255000</v>
      </c>
      <c r="J109">
        <v>360</v>
      </c>
      <c r="K109" t="str">
        <f t="shared" si="5"/>
        <v>0-10</v>
      </c>
      <c r="L109" s="13">
        <f t="shared" si="6"/>
        <v>89.473684210526315</v>
      </c>
      <c r="M109" t="str">
        <f t="shared" si="7"/>
        <v>not selected</v>
      </c>
      <c r="N109" t="str">
        <f t="shared" si="8"/>
        <v>not selected</v>
      </c>
      <c r="O109">
        <v>89.473684210526315</v>
      </c>
      <c r="P109">
        <v>29</v>
      </c>
      <c r="Q109">
        <v>360</v>
      </c>
      <c r="R109">
        <v>0</v>
      </c>
      <c r="S109">
        <v>3.8984235362391972</v>
      </c>
      <c r="T109" t="str">
        <f t="shared" si="9"/>
        <v>More than 80%</v>
      </c>
      <c r="U109">
        <v>89.473684210526315</v>
      </c>
      <c r="V109">
        <v>29</v>
      </c>
      <c r="W109">
        <v>0</v>
      </c>
      <c r="X109" s="24"/>
      <c r="Y109" s="24"/>
      <c r="Z109" s="24"/>
      <c r="AA109" s="24"/>
      <c r="AB109" s="24"/>
      <c r="AC109" s="24"/>
      <c r="AD109" s="24"/>
      <c r="AE109" s="24"/>
    </row>
    <row r="110" spans="1:31">
      <c r="A110">
        <v>103</v>
      </c>
      <c r="B110">
        <v>6</v>
      </c>
      <c r="C110">
        <v>51.32</v>
      </c>
      <c r="D110">
        <v>92700</v>
      </c>
      <c r="E110">
        <v>82000</v>
      </c>
      <c r="F110">
        <v>0</v>
      </c>
      <c r="G110" t="s">
        <v>15</v>
      </c>
      <c r="H110">
        <v>995000</v>
      </c>
      <c r="I110">
        <v>445000</v>
      </c>
      <c r="J110">
        <v>360</v>
      </c>
      <c r="K110" t="str">
        <f t="shared" si="5"/>
        <v>More than 50</v>
      </c>
      <c r="L110" s="13">
        <f t="shared" si="6"/>
        <v>44.723618090452263</v>
      </c>
      <c r="M110" t="str">
        <f t="shared" si="7"/>
        <v>not selected</v>
      </c>
      <c r="N110" t="str">
        <f t="shared" si="8"/>
        <v>not selected</v>
      </c>
      <c r="O110">
        <v>44.723618090452263</v>
      </c>
      <c r="P110">
        <v>41</v>
      </c>
      <c r="Q110">
        <v>360</v>
      </c>
      <c r="R110">
        <v>0</v>
      </c>
      <c r="S110">
        <v>4.0880928340566589</v>
      </c>
      <c r="T110" t="str">
        <f t="shared" si="9"/>
        <v>Less than 80%</v>
      </c>
      <c r="U110">
        <v>44.723618090452263</v>
      </c>
      <c r="V110">
        <v>41</v>
      </c>
      <c r="W110">
        <v>0</v>
      </c>
    </row>
    <row r="111" spans="1:31">
      <c r="A111">
        <v>104</v>
      </c>
      <c r="B111">
        <v>47</v>
      </c>
      <c r="C111">
        <v>6.91</v>
      </c>
      <c r="D111">
        <v>72600</v>
      </c>
      <c r="E111">
        <v>88000</v>
      </c>
      <c r="F111">
        <v>0</v>
      </c>
      <c r="G111" t="s">
        <v>15</v>
      </c>
      <c r="H111">
        <v>505000</v>
      </c>
      <c r="I111">
        <v>365000</v>
      </c>
      <c r="J111">
        <v>360</v>
      </c>
      <c r="K111" t="str">
        <f t="shared" si="5"/>
        <v>0-10</v>
      </c>
      <c r="L111" s="13">
        <f t="shared" si="6"/>
        <v>72.277227722772281</v>
      </c>
      <c r="M111" t="str">
        <f t="shared" si="7"/>
        <v>not selected</v>
      </c>
      <c r="N111" t="str">
        <f t="shared" si="8"/>
        <v>not selected</v>
      </c>
      <c r="O111">
        <v>72.277227722772281</v>
      </c>
      <c r="P111">
        <v>28</v>
      </c>
      <c r="Q111">
        <v>360</v>
      </c>
      <c r="R111">
        <v>0</v>
      </c>
      <c r="S111">
        <v>4.2253189322247593</v>
      </c>
      <c r="T111" t="str">
        <f t="shared" si="9"/>
        <v>Less than 80%</v>
      </c>
      <c r="U111">
        <v>72.277227722772281</v>
      </c>
      <c r="V111">
        <v>28</v>
      </c>
      <c r="W111">
        <v>0</v>
      </c>
    </row>
    <row r="112" spans="1:31">
      <c r="A112">
        <v>105</v>
      </c>
      <c r="B112">
        <v>13</v>
      </c>
      <c r="C112">
        <v>11.47</v>
      </c>
      <c r="D112">
        <v>58700</v>
      </c>
      <c r="E112">
        <v>30000</v>
      </c>
      <c r="F112">
        <v>0</v>
      </c>
      <c r="G112" t="s">
        <v>15</v>
      </c>
      <c r="H112">
        <v>95000</v>
      </c>
      <c r="I112">
        <v>75000</v>
      </c>
      <c r="J112">
        <v>360</v>
      </c>
      <c r="K112" t="str">
        <f t="shared" si="5"/>
        <v>10-20</v>
      </c>
      <c r="L112" s="13">
        <f t="shared" si="6"/>
        <v>78.94736842105263</v>
      </c>
      <c r="M112" t="str">
        <f t="shared" si="7"/>
        <v>not selected</v>
      </c>
      <c r="N112" t="str">
        <f t="shared" si="8"/>
        <v>not selected</v>
      </c>
      <c r="O112">
        <v>78.94736842105263</v>
      </c>
      <c r="P112">
        <v>35</v>
      </c>
      <c r="Q112">
        <v>360</v>
      </c>
      <c r="R112">
        <v>0</v>
      </c>
      <c r="S112">
        <v>4.6298948194393548</v>
      </c>
      <c r="T112" t="str">
        <f t="shared" si="9"/>
        <v>Less than 80%</v>
      </c>
      <c r="U112">
        <v>78.94736842105263</v>
      </c>
      <c r="V112">
        <v>35</v>
      </c>
      <c r="W112">
        <v>0</v>
      </c>
    </row>
    <row r="113" spans="1:24">
      <c r="A113">
        <v>106</v>
      </c>
      <c r="B113">
        <v>19</v>
      </c>
      <c r="C113">
        <v>5.74</v>
      </c>
      <c r="D113">
        <v>89200</v>
      </c>
      <c r="E113">
        <v>131000</v>
      </c>
      <c r="F113">
        <v>0</v>
      </c>
      <c r="G113" t="s">
        <v>15</v>
      </c>
      <c r="H113">
        <v>235000</v>
      </c>
      <c r="I113">
        <v>185000</v>
      </c>
      <c r="J113">
        <v>180</v>
      </c>
      <c r="K113" t="str">
        <f t="shared" si="5"/>
        <v>0-10</v>
      </c>
      <c r="L113" s="13">
        <f t="shared" si="6"/>
        <v>78.723404255319153</v>
      </c>
      <c r="M113" t="str">
        <f t="shared" si="7"/>
        <v>selected</v>
      </c>
      <c r="N113" t="str">
        <f t="shared" si="8"/>
        <v>not selected</v>
      </c>
      <c r="O113">
        <v>78.723404255319153</v>
      </c>
      <c r="P113">
        <v>32</v>
      </c>
      <c r="Q113">
        <v>180</v>
      </c>
      <c r="R113">
        <v>0</v>
      </c>
      <c r="S113">
        <v>5.1637871361718144</v>
      </c>
      <c r="T113" t="str">
        <f t="shared" si="9"/>
        <v>Less than 80%</v>
      </c>
      <c r="U113">
        <v>78.723404255319153</v>
      </c>
      <c r="V113">
        <v>32</v>
      </c>
      <c r="W113">
        <v>0</v>
      </c>
    </row>
    <row r="114" spans="1:24">
      <c r="A114">
        <v>107</v>
      </c>
      <c r="B114">
        <v>19</v>
      </c>
      <c r="C114">
        <v>9.65</v>
      </c>
      <c r="D114">
        <v>80600</v>
      </c>
      <c r="E114">
        <v>82000</v>
      </c>
      <c r="F114">
        <v>0</v>
      </c>
      <c r="G114" t="s">
        <v>15</v>
      </c>
      <c r="H114">
        <v>295000</v>
      </c>
      <c r="I114">
        <v>235000</v>
      </c>
      <c r="J114">
        <v>360</v>
      </c>
      <c r="K114" t="str">
        <f t="shared" si="5"/>
        <v>0-10</v>
      </c>
      <c r="L114" s="13">
        <f t="shared" si="6"/>
        <v>79.66101694915254</v>
      </c>
      <c r="M114" t="str">
        <f t="shared" si="7"/>
        <v>not selected</v>
      </c>
      <c r="N114" t="str">
        <f t="shared" si="8"/>
        <v>not selected</v>
      </c>
      <c r="O114">
        <v>79.66101694915254</v>
      </c>
      <c r="P114">
        <v>45</v>
      </c>
      <c r="Q114">
        <v>360</v>
      </c>
      <c r="R114">
        <v>0</v>
      </c>
      <c r="S114">
        <v>4.4962472255482151</v>
      </c>
      <c r="T114" t="str">
        <f t="shared" si="9"/>
        <v>Less than 80%</v>
      </c>
      <c r="U114">
        <v>79.66101694915254</v>
      </c>
      <c r="V114">
        <v>45</v>
      </c>
      <c r="W114">
        <v>0</v>
      </c>
    </row>
    <row r="115" spans="1:24">
      <c r="A115">
        <v>108</v>
      </c>
      <c r="B115">
        <v>41</v>
      </c>
      <c r="C115">
        <v>14.27</v>
      </c>
      <c r="D115">
        <v>92100</v>
      </c>
      <c r="E115">
        <v>162000</v>
      </c>
      <c r="F115">
        <v>0</v>
      </c>
      <c r="G115" t="s">
        <v>15</v>
      </c>
      <c r="H115">
        <v>505000</v>
      </c>
      <c r="I115">
        <v>365000</v>
      </c>
      <c r="J115">
        <v>180</v>
      </c>
      <c r="K115" t="str">
        <f t="shared" si="5"/>
        <v>10-20</v>
      </c>
      <c r="L115" s="13">
        <f t="shared" si="6"/>
        <v>72.277227722772281</v>
      </c>
      <c r="M115" t="str">
        <f t="shared" si="7"/>
        <v>selected</v>
      </c>
      <c r="N115" t="str">
        <f t="shared" si="8"/>
        <v>not selected</v>
      </c>
      <c r="O115">
        <v>72.277227722772281</v>
      </c>
      <c r="P115">
        <v>14</v>
      </c>
      <c r="Q115">
        <v>180</v>
      </c>
      <c r="R115">
        <v>0</v>
      </c>
      <c r="S115">
        <v>4.7816129522769417</v>
      </c>
      <c r="T115" t="str">
        <f t="shared" si="9"/>
        <v>Less than 80%</v>
      </c>
      <c r="U115">
        <v>72.277227722772281</v>
      </c>
      <c r="V115">
        <v>14</v>
      </c>
      <c r="W115">
        <v>0</v>
      </c>
    </row>
    <row r="116" spans="1:24">
      <c r="A116">
        <v>109</v>
      </c>
      <c r="B116">
        <v>29</v>
      </c>
      <c r="C116">
        <v>9</v>
      </c>
      <c r="D116">
        <v>82600</v>
      </c>
      <c r="E116">
        <v>118000</v>
      </c>
      <c r="F116">
        <v>0</v>
      </c>
      <c r="G116" t="s">
        <v>15</v>
      </c>
      <c r="H116">
        <v>405000</v>
      </c>
      <c r="I116">
        <v>325000</v>
      </c>
      <c r="J116">
        <v>360</v>
      </c>
      <c r="K116" t="str">
        <f t="shared" si="5"/>
        <v>0-10</v>
      </c>
      <c r="L116" s="13">
        <f t="shared" si="6"/>
        <v>80.246913580246911</v>
      </c>
      <c r="M116" t="str">
        <f t="shared" si="7"/>
        <v>not selected</v>
      </c>
      <c r="N116" t="str">
        <f t="shared" si="8"/>
        <v>not selected</v>
      </c>
      <c r="O116">
        <v>80.246913580246911</v>
      </c>
      <c r="P116">
        <v>18</v>
      </c>
      <c r="Q116">
        <v>360</v>
      </c>
      <c r="R116">
        <v>0</v>
      </c>
      <c r="S116">
        <v>4.1912177716076755</v>
      </c>
      <c r="T116" t="str">
        <f t="shared" si="9"/>
        <v>More than 80%</v>
      </c>
      <c r="U116">
        <v>80.246913580246911</v>
      </c>
      <c r="V116">
        <v>18</v>
      </c>
      <c r="W116">
        <v>0</v>
      </c>
    </row>
    <row r="117" spans="1:24">
      <c r="A117">
        <v>110</v>
      </c>
      <c r="B117">
        <v>6</v>
      </c>
      <c r="C117">
        <v>59.52</v>
      </c>
      <c r="D117">
        <v>75300</v>
      </c>
      <c r="E117">
        <v>37000</v>
      </c>
      <c r="F117">
        <v>0</v>
      </c>
      <c r="G117" t="s">
        <v>15</v>
      </c>
      <c r="H117">
        <v>415000</v>
      </c>
      <c r="I117">
        <v>295000</v>
      </c>
      <c r="J117">
        <v>360</v>
      </c>
      <c r="K117" t="str">
        <f t="shared" si="5"/>
        <v>More than 50</v>
      </c>
      <c r="L117" s="13">
        <f t="shared" si="6"/>
        <v>71.084337349397586</v>
      </c>
      <c r="M117" t="str">
        <f t="shared" si="7"/>
        <v>not selected</v>
      </c>
      <c r="N117" t="str">
        <f t="shared" si="8"/>
        <v>not selected</v>
      </c>
      <c r="O117">
        <v>71.084337349397586</v>
      </c>
      <c r="P117">
        <v>41</v>
      </c>
      <c r="Q117">
        <v>360</v>
      </c>
      <c r="R117">
        <v>0</v>
      </c>
      <c r="S117">
        <v>4.6274191805407083</v>
      </c>
      <c r="T117" t="str">
        <f t="shared" si="9"/>
        <v>Less than 80%</v>
      </c>
      <c r="U117">
        <v>71.084337349397586</v>
      </c>
      <c r="V117">
        <v>41</v>
      </c>
      <c r="W117">
        <v>0</v>
      </c>
    </row>
    <row r="118" spans="1:24">
      <c r="A118">
        <v>111</v>
      </c>
      <c r="B118">
        <v>12</v>
      </c>
      <c r="C118">
        <v>51.06</v>
      </c>
      <c r="D118">
        <v>68100</v>
      </c>
      <c r="E118">
        <v>117000</v>
      </c>
      <c r="F118">
        <v>0</v>
      </c>
      <c r="G118" t="s">
        <v>15</v>
      </c>
      <c r="H118">
        <v>285000</v>
      </c>
      <c r="I118">
        <v>235000</v>
      </c>
      <c r="J118">
        <v>360</v>
      </c>
      <c r="K118" t="str">
        <f t="shared" si="5"/>
        <v>More than 50</v>
      </c>
      <c r="L118" s="13">
        <f t="shared" si="6"/>
        <v>82.456140350877192</v>
      </c>
      <c r="M118" t="str">
        <f t="shared" si="7"/>
        <v>not selected</v>
      </c>
      <c r="N118" t="str">
        <f t="shared" si="8"/>
        <v>not selected</v>
      </c>
      <c r="O118">
        <v>82.456140350877192</v>
      </c>
      <c r="P118">
        <v>37</v>
      </c>
      <c r="Q118">
        <v>360</v>
      </c>
      <c r="R118">
        <v>0</v>
      </c>
      <c r="S118">
        <v>5.800579312967721</v>
      </c>
      <c r="T118" t="str">
        <f t="shared" si="9"/>
        <v>More than 80%</v>
      </c>
      <c r="U118">
        <v>82.456140350877192</v>
      </c>
      <c r="V118">
        <v>37</v>
      </c>
      <c r="W118">
        <v>0</v>
      </c>
    </row>
    <row r="119" spans="1:24">
      <c r="A119">
        <v>112</v>
      </c>
      <c r="B119">
        <v>13</v>
      </c>
      <c r="C119">
        <v>40.93</v>
      </c>
      <c r="D119">
        <v>82200</v>
      </c>
      <c r="E119">
        <v>108000</v>
      </c>
      <c r="F119">
        <v>0</v>
      </c>
      <c r="G119" t="s">
        <v>15</v>
      </c>
      <c r="H119">
        <v>335000</v>
      </c>
      <c r="I119">
        <v>275000</v>
      </c>
      <c r="J119">
        <v>360</v>
      </c>
      <c r="K119" t="str">
        <f t="shared" si="5"/>
        <v>40-50</v>
      </c>
      <c r="L119" s="13">
        <f t="shared" si="6"/>
        <v>82.089552238805979</v>
      </c>
      <c r="M119" t="str">
        <f t="shared" si="7"/>
        <v>not selected</v>
      </c>
      <c r="N119" t="str">
        <f t="shared" si="8"/>
        <v>not selected</v>
      </c>
      <c r="O119">
        <v>82.089552238805979</v>
      </c>
      <c r="P119">
        <v>20</v>
      </c>
      <c r="Q119">
        <v>360</v>
      </c>
      <c r="R119">
        <v>0</v>
      </c>
      <c r="S119">
        <v>3.7163359347464731</v>
      </c>
      <c r="T119" t="str">
        <f t="shared" si="9"/>
        <v>More than 80%</v>
      </c>
      <c r="U119">
        <v>82.089552238805979</v>
      </c>
      <c r="V119">
        <v>20</v>
      </c>
      <c r="W119">
        <v>0</v>
      </c>
    </row>
    <row r="120" spans="1:24">
      <c r="A120">
        <v>113</v>
      </c>
      <c r="B120">
        <v>6</v>
      </c>
      <c r="C120">
        <v>57.94</v>
      </c>
      <c r="D120">
        <v>75300</v>
      </c>
      <c r="E120">
        <v>37000</v>
      </c>
      <c r="F120">
        <v>0</v>
      </c>
      <c r="G120" t="s">
        <v>15</v>
      </c>
      <c r="H120">
        <v>305000</v>
      </c>
      <c r="I120">
        <v>195000</v>
      </c>
      <c r="J120">
        <v>360</v>
      </c>
      <c r="K120" t="str">
        <f t="shared" si="5"/>
        <v>More than 50</v>
      </c>
      <c r="L120" s="13">
        <f t="shared" si="6"/>
        <v>63.934426229508205</v>
      </c>
      <c r="M120" t="str">
        <f t="shared" si="7"/>
        <v>not selected</v>
      </c>
      <c r="N120" t="str">
        <f t="shared" si="8"/>
        <v>not selected</v>
      </c>
      <c r="O120">
        <v>63.934426229508205</v>
      </c>
      <c r="P120">
        <v>20</v>
      </c>
      <c r="Q120">
        <v>360</v>
      </c>
      <c r="R120">
        <v>0</v>
      </c>
      <c r="S120">
        <v>3.437630205549965</v>
      </c>
      <c r="T120" t="str">
        <f t="shared" si="9"/>
        <v>Less than 80%</v>
      </c>
      <c r="U120">
        <v>63.934426229508205</v>
      </c>
      <c r="V120">
        <v>20</v>
      </c>
      <c r="W120">
        <v>0</v>
      </c>
    </row>
    <row r="121" spans="1:24">
      <c r="A121">
        <v>114</v>
      </c>
      <c r="B121">
        <v>36</v>
      </c>
      <c r="C121">
        <v>40.15</v>
      </c>
      <c r="D121">
        <v>96500</v>
      </c>
      <c r="E121">
        <v>160000</v>
      </c>
      <c r="F121">
        <v>0</v>
      </c>
      <c r="G121" t="s">
        <v>15</v>
      </c>
      <c r="H121">
        <v>635000</v>
      </c>
      <c r="I121">
        <v>495000</v>
      </c>
      <c r="J121">
        <v>360</v>
      </c>
      <c r="K121" t="str">
        <f t="shared" si="5"/>
        <v>40-50</v>
      </c>
      <c r="L121" s="13">
        <f t="shared" si="6"/>
        <v>77.952755905511808</v>
      </c>
      <c r="M121" t="str">
        <f t="shared" si="7"/>
        <v>not selected</v>
      </c>
      <c r="N121" t="str">
        <f t="shared" si="8"/>
        <v>not selected</v>
      </c>
      <c r="O121">
        <v>77.952755905511808</v>
      </c>
      <c r="P121">
        <v>28</v>
      </c>
      <c r="Q121">
        <v>360</v>
      </c>
      <c r="R121">
        <v>0</v>
      </c>
      <c r="S121">
        <v>5.240342688546562</v>
      </c>
      <c r="T121" t="str">
        <f t="shared" si="9"/>
        <v>Less than 80%</v>
      </c>
      <c r="U121">
        <v>77.952755905511808</v>
      </c>
      <c r="V121">
        <v>28</v>
      </c>
      <c r="W121">
        <v>0</v>
      </c>
    </row>
    <row r="122" spans="1:24">
      <c r="A122">
        <v>115</v>
      </c>
      <c r="B122">
        <v>17</v>
      </c>
      <c r="C122">
        <v>12.95</v>
      </c>
      <c r="D122">
        <v>89100</v>
      </c>
      <c r="E122">
        <v>231000</v>
      </c>
      <c r="F122">
        <v>0</v>
      </c>
      <c r="G122" t="s">
        <v>15</v>
      </c>
      <c r="H122">
        <v>1465000</v>
      </c>
      <c r="I122">
        <v>505000</v>
      </c>
      <c r="J122">
        <v>360</v>
      </c>
      <c r="K122" t="str">
        <f t="shared" si="5"/>
        <v>10-20</v>
      </c>
      <c r="L122" s="13">
        <f t="shared" si="6"/>
        <v>34.470989761092156</v>
      </c>
      <c r="M122" t="str">
        <f t="shared" si="7"/>
        <v>not selected</v>
      </c>
      <c r="N122" t="str">
        <f t="shared" si="8"/>
        <v>selected</v>
      </c>
      <c r="O122">
        <v>34.470989761092156</v>
      </c>
      <c r="P122">
        <v>28</v>
      </c>
      <c r="Q122">
        <v>360</v>
      </c>
      <c r="R122">
        <v>0</v>
      </c>
      <c r="S122">
        <v>3.8057747503942858</v>
      </c>
      <c r="T122" t="str">
        <f t="shared" si="9"/>
        <v>Less than 80%</v>
      </c>
      <c r="U122">
        <v>34.470989761092156</v>
      </c>
      <c r="V122">
        <v>28</v>
      </c>
      <c r="W122">
        <v>0</v>
      </c>
    </row>
    <row r="123" spans="1:24">
      <c r="A123">
        <v>116</v>
      </c>
      <c r="B123">
        <v>19</v>
      </c>
      <c r="C123">
        <v>20.13</v>
      </c>
      <c r="D123">
        <v>99100</v>
      </c>
      <c r="E123">
        <v>130000</v>
      </c>
      <c r="F123">
        <v>0</v>
      </c>
      <c r="G123" t="s">
        <v>15</v>
      </c>
      <c r="H123">
        <v>395000</v>
      </c>
      <c r="I123">
        <v>305000</v>
      </c>
      <c r="J123">
        <v>360</v>
      </c>
      <c r="K123" t="str">
        <f t="shared" si="5"/>
        <v>20-30</v>
      </c>
      <c r="L123" s="13">
        <f t="shared" si="6"/>
        <v>77.215189873417728</v>
      </c>
      <c r="M123" t="str">
        <f t="shared" si="7"/>
        <v>not selected</v>
      </c>
      <c r="N123" t="str">
        <f t="shared" si="8"/>
        <v>not selected</v>
      </c>
      <c r="O123">
        <v>77.215189873417728</v>
      </c>
      <c r="P123">
        <v>45</v>
      </c>
      <c r="Q123">
        <v>360</v>
      </c>
      <c r="R123">
        <v>0</v>
      </c>
      <c r="S123">
        <v>5.1735983925131785</v>
      </c>
      <c r="T123" t="str">
        <f t="shared" si="9"/>
        <v>Less than 80%</v>
      </c>
      <c r="U123">
        <v>77.215189873417728</v>
      </c>
      <c r="V123">
        <v>45</v>
      </c>
      <c r="W123">
        <v>0</v>
      </c>
      <c r="X123" s="23"/>
    </row>
    <row r="124" spans="1:24">
      <c r="A124">
        <v>117</v>
      </c>
      <c r="B124">
        <v>48</v>
      </c>
      <c r="C124">
        <v>25.37</v>
      </c>
      <c r="D124">
        <v>84800</v>
      </c>
      <c r="E124">
        <v>281000</v>
      </c>
      <c r="F124">
        <v>0</v>
      </c>
      <c r="G124" t="s">
        <v>15</v>
      </c>
      <c r="H124">
        <v>525000</v>
      </c>
      <c r="I124">
        <v>425000</v>
      </c>
      <c r="J124">
        <v>360</v>
      </c>
      <c r="K124" t="str">
        <f t="shared" si="5"/>
        <v>20-30</v>
      </c>
      <c r="L124" s="13">
        <f t="shared" si="6"/>
        <v>80.952380952380949</v>
      </c>
      <c r="M124" t="str">
        <f t="shared" si="7"/>
        <v>not selected</v>
      </c>
      <c r="N124" t="str">
        <f t="shared" si="8"/>
        <v>not selected</v>
      </c>
      <c r="O124">
        <v>80.952380952380949</v>
      </c>
      <c r="P124">
        <v>29</v>
      </c>
      <c r="Q124">
        <v>360</v>
      </c>
      <c r="R124">
        <v>0</v>
      </c>
      <c r="S124">
        <v>4.3370766083990127</v>
      </c>
      <c r="T124" t="str">
        <f t="shared" si="9"/>
        <v>More than 80%</v>
      </c>
      <c r="U124">
        <v>80.952380952380949</v>
      </c>
      <c r="V124">
        <v>29</v>
      </c>
      <c r="W124">
        <v>0</v>
      </c>
    </row>
    <row r="125" spans="1:24">
      <c r="A125">
        <v>118</v>
      </c>
      <c r="B125">
        <v>8</v>
      </c>
      <c r="C125">
        <v>16.329999999999998</v>
      </c>
      <c r="D125">
        <v>81700</v>
      </c>
      <c r="E125">
        <v>218000</v>
      </c>
      <c r="F125">
        <v>0</v>
      </c>
      <c r="G125" t="s">
        <v>15</v>
      </c>
      <c r="H125">
        <v>655000</v>
      </c>
      <c r="I125">
        <v>465000</v>
      </c>
      <c r="J125">
        <v>240</v>
      </c>
      <c r="K125" t="str">
        <f t="shared" si="5"/>
        <v>10-20</v>
      </c>
      <c r="L125" s="13">
        <f t="shared" si="6"/>
        <v>70.992366412213741</v>
      </c>
      <c r="M125" t="str">
        <f t="shared" si="7"/>
        <v>not selected</v>
      </c>
      <c r="N125" t="str">
        <f t="shared" si="8"/>
        <v>not selected</v>
      </c>
      <c r="O125">
        <v>70.992366412213741</v>
      </c>
      <c r="P125">
        <v>37</v>
      </c>
      <c r="Q125">
        <v>240</v>
      </c>
      <c r="R125">
        <v>0</v>
      </c>
      <c r="S125">
        <v>5.5895054360069665</v>
      </c>
      <c r="T125" t="str">
        <f t="shared" si="9"/>
        <v>Less than 80%</v>
      </c>
      <c r="U125">
        <v>70.992366412213741</v>
      </c>
      <c r="V125">
        <v>37</v>
      </c>
      <c r="W125">
        <v>0</v>
      </c>
    </row>
    <row r="126" spans="1:24">
      <c r="A126">
        <v>119</v>
      </c>
      <c r="B126">
        <v>29</v>
      </c>
      <c r="C126">
        <v>12.84</v>
      </c>
      <c r="D126">
        <v>82600</v>
      </c>
      <c r="E126">
        <v>85000</v>
      </c>
      <c r="F126">
        <v>0</v>
      </c>
      <c r="G126" t="s">
        <v>15</v>
      </c>
      <c r="H126">
        <v>225000</v>
      </c>
      <c r="I126">
        <v>145000</v>
      </c>
      <c r="J126">
        <v>360</v>
      </c>
      <c r="K126" t="str">
        <f t="shared" si="5"/>
        <v>10-20</v>
      </c>
      <c r="L126" s="13">
        <f t="shared" si="6"/>
        <v>64.444444444444443</v>
      </c>
      <c r="M126" t="str">
        <f t="shared" si="7"/>
        <v>not selected</v>
      </c>
      <c r="N126" t="str">
        <f t="shared" si="8"/>
        <v>not selected</v>
      </c>
      <c r="O126">
        <v>64.444444444444443</v>
      </c>
      <c r="P126">
        <v>17</v>
      </c>
      <c r="Q126">
        <v>360</v>
      </c>
      <c r="R126">
        <v>0</v>
      </c>
      <c r="S126">
        <v>4.1868318591518427</v>
      </c>
      <c r="T126" t="str">
        <f t="shared" si="9"/>
        <v>Less than 80%</v>
      </c>
      <c r="U126">
        <v>64.444444444444443</v>
      </c>
      <c r="V126">
        <v>17</v>
      </c>
      <c r="W126">
        <v>0</v>
      </c>
    </row>
    <row r="127" spans="1:24">
      <c r="A127">
        <v>120</v>
      </c>
      <c r="B127">
        <v>12</v>
      </c>
      <c r="C127">
        <v>15.21</v>
      </c>
      <c r="D127">
        <v>65000</v>
      </c>
      <c r="E127">
        <v>67000</v>
      </c>
      <c r="F127">
        <v>0</v>
      </c>
      <c r="G127" t="s">
        <v>15</v>
      </c>
      <c r="H127">
        <v>265000</v>
      </c>
      <c r="I127">
        <v>215000</v>
      </c>
      <c r="J127">
        <v>360</v>
      </c>
      <c r="K127" t="str">
        <f t="shared" si="5"/>
        <v>10-20</v>
      </c>
      <c r="L127" s="13">
        <f t="shared" si="6"/>
        <v>81.132075471698116</v>
      </c>
      <c r="M127" t="str">
        <f t="shared" si="7"/>
        <v>not selected</v>
      </c>
      <c r="N127" t="str">
        <f t="shared" si="8"/>
        <v>not selected</v>
      </c>
      <c r="O127">
        <v>81.132075471698116</v>
      </c>
      <c r="P127">
        <v>37</v>
      </c>
      <c r="Q127">
        <v>360</v>
      </c>
      <c r="R127">
        <v>0</v>
      </c>
      <c r="S127">
        <v>4.2479392347194285</v>
      </c>
      <c r="T127" t="str">
        <f t="shared" si="9"/>
        <v>More than 80%</v>
      </c>
      <c r="U127">
        <v>81.132075471698116</v>
      </c>
      <c r="V127">
        <v>37</v>
      </c>
      <c r="W127">
        <v>0</v>
      </c>
    </row>
    <row r="128" spans="1:24">
      <c r="A128">
        <v>121</v>
      </c>
      <c r="B128">
        <v>12</v>
      </c>
      <c r="C128">
        <v>83.41</v>
      </c>
      <c r="D128">
        <v>68300</v>
      </c>
      <c r="E128">
        <v>112000</v>
      </c>
      <c r="F128">
        <v>1</v>
      </c>
      <c r="G128" t="s">
        <v>15</v>
      </c>
      <c r="H128">
        <v>575000</v>
      </c>
      <c r="I128">
        <v>445000</v>
      </c>
      <c r="J128">
        <v>360</v>
      </c>
      <c r="K128" t="str">
        <f t="shared" si="5"/>
        <v>More than 50</v>
      </c>
      <c r="L128" s="13">
        <f t="shared" si="6"/>
        <v>77.391304347826079</v>
      </c>
      <c r="M128" t="str">
        <f t="shared" si="7"/>
        <v>not selected</v>
      </c>
      <c r="N128" t="str">
        <f t="shared" si="8"/>
        <v>not selected</v>
      </c>
      <c r="O128">
        <v>77.391304347826079</v>
      </c>
      <c r="P128">
        <v>37</v>
      </c>
      <c r="Q128">
        <v>360</v>
      </c>
      <c r="R128">
        <v>1</v>
      </c>
      <c r="S128">
        <v>4.4526687020661457</v>
      </c>
      <c r="T128" t="str">
        <f t="shared" si="9"/>
        <v>Less than 80%</v>
      </c>
      <c r="U128">
        <v>77.391304347826079</v>
      </c>
      <c r="V128">
        <v>37</v>
      </c>
      <c r="W128">
        <v>1</v>
      </c>
    </row>
    <row r="129" spans="1:31">
      <c r="A129">
        <v>122</v>
      </c>
      <c r="B129">
        <v>4</v>
      </c>
      <c r="C129">
        <v>24.87</v>
      </c>
      <c r="D129">
        <v>77800</v>
      </c>
      <c r="E129">
        <v>175000</v>
      </c>
      <c r="F129">
        <v>0</v>
      </c>
      <c r="G129" t="s">
        <v>15</v>
      </c>
      <c r="H129">
        <v>415000</v>
      </c>
      <c r="I129">
        <v>285000</v>
      </c>
      <c r="J129">
        <v>360</v>
      </c>
      <c r="K129" t="str">
        <f t="shared" si="5"/>
        <v>20-30</v>
      </c>
      <c r="L129" s="13">
        <f t="shared" si="6"/>
        <v>68.674698795180717</v>
      </c>
      <c r="M129" t="str">
        <f t="shared" si="7"/>
        <v>not selected</v>
      </c>
      <c r="N129" t="str">
        <f t="shared" si="8"/>
        <v>not selected</v>
      </c>
      <c r="O129">
        <v>68.674698795180717</v>
      </c>
      <c r="P129">
        <v>23</v>
      </c>
      <c r="Q129">
        <v>360</v>
      </c>
      <c r="R129">
        <v>0</v>
      </c>
      <c r="S129">
        <v>3.9010284786525919</v>
      </c>
      <c r="T129" t="str">
        <f t="shared" si="9"/>
        <v>Less than 80%</v>
      </c>
      <c r="U129">
        <v>68.674698795180717</v>
      </c>
      <c r="V129">
        <v>23</v>
      </c>
      <c r="W129">
        <v>0</v>
      </c>
    </row>
    <row r="130" spans="1:31">
      <c r="A130">
        <v>123</v>
      </c>
      <c r="B130">
        <v>6</v>
      </c>
      <c r="C130">
        <v>80.94</v>
      </c>
      <c r="D130">
        <v>92700</v>
      </c>
      <c r="E130">
        <v>91000</v>
      </c>
      <c r="F130">
        <v>0</v>
      </c>
      <c r="G130" t="s">
        <v>15</v>
      </c>
      <c r="H130">
        <v>715000</v>
      </c>
      <c r="I130">
        <v>225000</v>
      </c>
      <c r="J130">
        <v>180</v>
      </c>
      <c r="K130" t="str">
        <f t="shared" si="5"/>
        <v>More than 50</v>
      </c>
      <c r="L130" s="13">
        <f t="shared" si="6"/>
        <v>31.46853146853147</v>
      </c>
      <c r="M130" t="str">
        <f t="shared" si="7"/>
        <v>selected</v>
      </c>
      <c r="N130" t="str">
        <f t="shared" si="8"/>
        <v>not selected</v>
      </c>
      <c r="O130">
        <v>31.46853146853147</v>
      </c>
      <c r="P130">
        <v>28</v>
      </c>
      <c r="Q130">
        <v>180</v>
      </c>
      <c r="R130">
        <v>0</v>
      </c>
      <c r="S130">
        <v>3.3295746903391743</v>
      </c>
      <c r="T130" t="str">
        <f t="shared" si="9"/>
        <v>Less than 80%</v>
      </c>
      <c r="U130">
        <v>31.46853146853147</v>
      </c>
      <c r="V130">
        <v>28</v>
      </c>
      <c r="W130">
        <v>0</v>
      </c>
    </row>
    <row r="131" spans="1:31">
      <c r="A131">
        <v>124</v>
      </c>
      <c r="B131">
        <v>39</v>
      </c>
      <c r="C131">
        <v>19.3</v>
      </c>
      <c r="D131">
        <v>85200</v>
      </c>
      <c r="E131">
        <v>85000</v>
      </c>
      <c r="F131">
        <v>0</v>
      </c>
      <c r="G131" t="s">
        <v>15</v>
      </c>
      <c r="H131">
        <v>255000</v>
      </c>
      <c r="I131">
        <v>235000</v>
      </c>
      <c r="J131">
        <v>360</v>
      </c>
      <c r="K131" t="str">
        <f t="shared" si="5"/>
        <v>10-20</v>
      </c>
      <c r="L131" s="13">
        <f t="shared" si="6"/>
        <v>92.156862745098039</v>
      </c>
      <c r="M131" t="str">
        <f t="shared" si="7"/>
        <v>not selected</v>
      </c>
      <c r="N131" t="str">
        <f t="shared" si="8"/>
        <v>not selected</v>
      </c>
      <c r="O131">
        <v>92.156862745098039</v>
      </c>
      <c r="P131">
        <v>33</v>
      </c>
      <c r="Q131">
        <v>360</v>
      </c>
      <c r="R131">
        <v>0</v>
      </c>
      <c r="S131">
        <v>5.5440927827487485</v>
      </c>
      <c r="T131" t="str">
        <f t="shared" si="9"/>
        <v>More than 80%</v>
      </c>
      <c r="U131">
        <v>92.156862745098039</v>
      </c>
      <c r="V131">
        <v>33</v>
      </c>
      <c r="W131">
        <v>0</v>
      </c>
      <c r="X131" s="24"/>
      <c r="Y131" s="24"/>
      <c r="Z131" s="24"/>
      <c r="AA131" s="24"/>
      <c r="AB131" s="24"/>
    </row>
    <row r="132" spans="1:31">
      <c r="A132">
        <v>125</v>
      </c>
      <c r="B132">
        <v>40</v>
      </c>
      <c r="C132">
        <v>15.38</v>
      </c>
      <c r="D132">
        <v>74000</v>
      </c>
      <c r="E132">
        <v>126000</v>
      </c>
      <c r="F132">
        <v>0</v>
      </c>
      <c r="G132" t="s">
        <v>15</v>
      </c>
      <c r="H132">
        <v>205000</v>
      </c>
      <c r="I132">
        <v>165000</v>
      </c>
      <c r="J132">
        <v>240</v>
      </c>
      <c r="K132" t="str">
        <f t="shared" si="5"/>
        <v>10-20</v>
      </c>
      <c r="L132" s="13">
        <f t="shared" si="6"/>
        <v>80.487804878048792</v>
      </c>
      <c r="M132" t="str">
        <f t="shared" si="7"/>
        <v>not selected</v>
      </c>
      <c r="N132" t="str">
        <f t="shared" si="8"/>
        <v>not selected</v>
      </c>
      <c r="O132">
        <v>80.487804878048792</v>
      </c>
      <c r="P132">
        <v>32</v>
      </c>
      <c r="Q132">
        <v>240</v>
      </c>
      <c r="R132">
        <v>0</v>
      </c>
      <c r="S132">
        <v>3.6899331551116896</v>
      </c>
      <c r="T132" t="str">
        <f t="shared" si="9"/>
        <v>More than 80%</v>
      </c>
      <c r="U132">
        <v>80.487804878048792</v>
      </c>
      <c r="V132">
        <v>32</v>
      </c>
      <c r="W132">
        <v>0</v>
      </c>
    </row>
    <row r="133" spans="1:31">
      <c r="A133">
        <v>126</v>
      </c>
      <c r="B133">
        <v>49</v>
      </c>
      <c r="C133">
        <v>16.8</v>
      </c>
      <c r="D133">
        <v>70700</v>
      </c>
      <c r="E133">
        <v>62000</v>
      </c>
      <c r="F133">
        <v>1</v>
      </c>
      <c r="G133" t="s">
        <v>15</v>
      </c>
      <c r="H133">
        <v>305000</v>
      </c>
      <c r="I133">
        <v>275000</v>
      </c>
      <c r="J133">
        <v>360</v>
      </c>
      <c r="K133" t="str">
        <f t="shared" si="5"/>
        <v>10-20</v>
      </c>
      <c r="L133" s="13">
        <f t="shared" si="6"/>
        <v>90.163934426229503</v>
      </c>
      <c r="M133" t="str">
        <f t="shared" si="7"/>
        <v>not selected</v>
      </c>
      <c r="N133" t="str">
        <f t="shared" si="8"/>
        <v>not selected</v>
      </c>
      <c r="O133">
        <v>90.163934426229503</v>
      </c>
      <c r="P133">
        <v>39</v>
      </c>
      <c r="Q133">
        <v>360</v>
      </c>
      <c r="R133">
        <v>1</v>
      </c>
      <c r="S133">
        <v>6.0594971508581983</v>
      </c>
      <c r="T133" t="str">
        <f t="shared" si="9"/>
        <v>More than 80%</v>
      </c>
      <c r="U133">
        <v>90.163934426229503</v>
      </c>
      <c r="V133">
        <v>39</v>
      </c>
      <c r="W133">
        <v>1</v>
      </c>
    </row>
    <row r="134" spans="1:31">
      <c r="A134">
        <v>127</v>
      </c>
      <c r="B134">
        <v>26</v>
      </c>
      <c r="C134">
        <v>6.53</v>
      </c>
      <c r="D134">
        <v>79700</v>
      </c>
      <c r="E134">
        <v>56000</v>
      </c>
      <c r="F134">
        <v>0</v>
      </c>
      <c r="G134" t="s">
        <v>15</v>
      </c>
      <c r="H134">
        <v>325000</v>
      </c>
      <c r="I134">
        <v>235000</v>
      </c>
      <c r="J134">
        <v>360</v>
      </c>
      <c r="K134" t="str">
        <f t="shared" si="5"/>
        <v>0-10</v>
      </c>
      <c r="L134" s="13">
        <f t="shared" si="6"/>
        <v>72.307692307692307</v>
      </c>
      <c r="M134" t="str">
        <f t="shared" si="7"/>
        <v>not selected</v>
      </c>
      <c r="N134" t="str">
        <f t="shared" si="8"/>
        <v>not selected</v>
      </c>
      <c r="O134">
        <v>72.307692307692307</v>
      </c>
      <c r="P134">
        <v>27</v>
      </c>
      <c r="Q134">
        <v>360</v>
      </c>
      <c r="R134">
        <v>0</v>
      </c>
      <c r="S134">
        <v>4.5537918783214524</v>
      </c>
      <c r="T134" t="str">
        <f t="shared" si="9"/>
        <v>Less than 80%</v>
      </c>
      <c r="U134">
        <v>72.307692307692307</v>
      </c>
      <c r="V134">
        <v>27</v>
      </c>
      <c r="W134">
        <v>0</v>
      </c>
    </row>
    <row r="135" spans="1:31">
      <c r="A135">
        <v>128</v>
      </c>
      <c r="B135">
        <v>53</v>
      </c>
      <c r="C135">
        <v>11.83</v>
      </c>
      <c r="D135">
        <v>86300</v>
      </c>
      <c r="E135">
        <v>67000</v>
      </c>
      <c r="F135">
        <v>0</v>
      </c>
      <c r="G135" t="s">
        <v>15</v>
      </c>
      <c r="H135">
        <v>425000</v>
      </c>
      <c r="I135">
        <v>335000</v>
      </c>
      <c r="J135">
        <v>360</v>
      </c>
      <c r="K135" t="str">
        <f t="shared" si="5"/>
        <v>10-20</v>
      </c>
      <c r="L135" s="13">
        <f t="shared" si="6"/>
        <v>78.82352941176471</v>
      </c>
      <c r="M135" t="str">
        <f t="shared" si="7"/>
        <v>not selected</v>
      </c>
      <c r="N135" t="str">
        <f t="shared" si="8"/>
        <v>not selected</v>
      </c>
      <c r="O135">
        <v>78.82352941176471</v>
      </c>
      <c r="P135">
        <v>29</v>
      </c>
      <c r="Q135">
        <v>360</v>
      </c>
      <c r="R135">
        <v>0</v>
      </c>
      <c r="S135">
        <v>4.2393159929041797</v>
      </c>
      <c r="T135" t="str">
        <f t="shared" si="9"/>
        <v>Less than 80%</v>
      </c>
      <c r="U135">
        <v>78.82352941176471</v>
      </c>
      <c r="V135">
        <v>29</v>
      </c>
      <c r="W135">
        <v>0</v>
      </c>
    </row>
    <row r="136" spans="1:31">
      <c r="A136">
        <v>129</v>
      </c>
      <c r="B136">
        <v>53</v>
      </c>
      <c r="C136">
        <v>37.630000000000003</v>
      </c>
      <c r="D136">
        <v>106900</v>
      </c>
      <c r="E136">
        <v>69000</v>
      </c>
      <c r="F136">
        <v>0</v>
      </c>
      <c r="G136" t="s">
        <v>15</v>
      </c>
      <c r="H136">
        <v>445000</v>
      </c>
      <c r="I136">
        <v>325000</v>
      </c>
      <c r="J136">
        <v>360</v>
      </c>
      <c r="K136" t="str">
        <f t="shared" ref="K136:K199" si="10">IF(C136&gt;=50,"More than 50",IF(C136&gt;=40,"40-50",IF(C136&gt;=30,"30-40",IF(C136&gt;=20,"20-30",IF(C136&gt;=10,"10-20","0-10")))))</f>
        <v>30-40</v>
      </c>
      <c r="L136" s="13">
        <f t="shared" ref="L136:L199" si="11">(I136/H136)*100</f>
        <v>73.033707865168537</v>
      </c>
      <c r="M136" t="str">
        <f t="shared" si="7"/>
        <v>not selected</v>
      </c>
      <c r="N136" t="str">
        <f t="shared" si="8"/>
        <v>not selected</v>
      </c>
      <c r="O136">
        <v>73.033707865168537</v>
      </c>
      <c r="P136">
        <v>30</v>
      </c>
      <c r="Q136">
        <v>360</v>
      </c>
      <c r="R136">
        <v>0</v>
      </c>
      <c r="S136">
        <v>5.0735053999890223</v>
      </c>
      <c r="T136" t="str">
        <f t="shared" si="9"/>
        <v>Less than 80%</v>
      </c>
      <c r="U136">
        <v>73.033707865168537</v>
      </c>
      <c r="V136">
        <v>30</v>
      </c>
      <c r="W136">
        <v>0</v>
      </c>
      <c r="X136" s="24"/>
      <c r="Y136" s="24"/>
      <c r="Z136" s="24"/>
      <c r="AA136" s="24"/>
      <c r="AB136" s="24"/>
      <c r="AC136" s="24"/>
      <c r="AD136" s="24"/>
      <c r="AE136" s="24"/>
    </row>
    <row r="137" spans="1:31">
      <c r="A137">
        <v>130</v>
      </c>
      <c r="B137">
        <v>21</v>
      </c>
      <c r="C137">
        <v>90.31</v>
      </c>
      <c r="D137">
        <v>79400</v>
      </c>
      <c r="E137">
        <v>374000</v>
      </c>
      <c r="F137">
        <v>1</v>
      </c>
      <c r="G137" t="s">
        <v>15</v>
      </c>
      <c r="H137">
        <v>115000</v>
      </c>
      <c r="I137">
        <v>95000</v>
      </c>
      <c r="J137">
        <v>360</v>
      </c>
      <c r="K137" t="str">
        <f t="shared" si="10"/>
        <v>More than 50</v>
      </c>
      <c r="L137" s="13">
        <f t="shared" si="11"/>
        <v>82.608695652173907</v>
      </c>
      <c r="M137" t="str">
        <f t="shared" ref="M137:M200" si="12">IF(AND(L137&lt;=80,J137&lt;=180),"selected","not selected")</f>
        <v>not selected</v>
      </c>
      <c r="N137" t="str">
        <f t="shared" ref="N137:N200" si="13">IF(AND(L137&lt;=80,E137&gt;=222400),"selected","not selected")</f>
        <v>not selected</v>
      </c>
      <c r="O137">
        <v>82.608695652173907</v>
      </c>
      <c r="P137">
        <v>25</v>
      </c>
      <c r="Q137">
        <v>360</v>
      </c>
      <c r="R137">
        <v>1</v>
      </c>
      <c r="S137">
        <v>5.6063325578245831</v>
      </c>
      <c r="T137" t="str">
        <f t="shared" ref="T137:T200" si="14">IF(L137&gt;=80,"More than 80%","Less than 80%")</f>
        <v>More than 80%</v>
      </c>
      <c r="U137">
        <v>82.608695652173907</v>
      </c>
      <c r="V137">
        <v>25</v>
      </c>
      <c r="W137">
        <v>1</v>
      </c>
    </row>
    <row r="138" spans="1:31">
      <c r="A138">
        <v>131</v>
      </c>
      <c r="B138">
        <v>6</v>
      </c>
      <c r="C138">
        <v>78.83</v>
      </c>
      <c r="D138">
        <v>83300</v>
      </c>
      <c r="E138">
        <v>302000</v>
      </c>
      <c r="F138">
        <v>0</v>
      </c>
      <c r="G138" t="s">
        <v>15</v>
      </c>
      <c r="H138">
        <v>635000</v>
      </c>
      <c r="I138">
        <v>355000</v>
      </c>
      <c r="J138">
        <v>360</v>
      </c>
      <c r="K138" t="str">
        <f t="shared" si="10"/>
        <v>More than 50</v>
      </c>
      <c r="L138" s="13">
        <f t="shared" si="11"/>
        <v>55.905511811023622</v>
      </c>
      <c r="M138" t="str">
        <f t="shared" si="12"/>
        <v>not selected</v>
      </c>
      <c r="N138" t="str">
        <f t="shared" si="13"/>
        <v>selected</v>
      </c>
      <c r="O138">
        <v>55.905511811023622</v>
      </c>
      <c r="P138">
        <v>32</v>
      </c>
      <c r="Q138">
        <v>360</v>
      </c>
      <c r="R138">
        <v>0</v>
      </c>
      <c r="S138">
        <v>5.2895326466196675</v>
      </c>
      <c r="T138" t="str">
        <f t="shared" si="14"/>
        <v>Less than 80%</v>
      </c>
      <c r="U138">
        <v>55.905511811023622</v>
      </c>
      <c r="V138">
        <v>32</v>
      </c>
      <c r="W138">
        <v>0</v>
      </c>
    </row>
    <row r="139" spans="1:31">
      <c r="A139">
        <v>132</v>
      </c>
      <c r="B139">
        <v>6</v>
      </c>
      <c r="C139">
        <v>24.95</v>
      </c>
      <c r="D139">
        <v>97800</v>
      </c>
      <c r="E139">
        <v>222000</v>
      </c>
      <c r="F139">
        <v>1</v>
      </c>
      <c r="G139" t="s">
        <v>15</v>
      </c>
      <c r="H139">
        <v>1105000</v>
      </c>
      <c r="I139">
        <v>715000</v>
      </c>
      <c r="J139">
        <v>360</v>
      </c>
      <c r="K139" t="str">
        <f t="shared" si="10"/>
        <v>20-30</v>
      </c>
      <c r="L139" s="13">
        <f t="shared" si="11"/>
        <v>64.705882352941174</v>
      </c>
      <c r="M139" t="str">
        <f t="shared" si="12"/>
        <v>not selected</v>
      </c>
      <c r="N139" t="str">
        <f t="shared" si="13"/>
        <v>not selected</v>
      </c>
      <c r="O139">
        <v>64.705882352941174</v>
      </c>
      <c r="P139">
        <v>8</v>
      </c>
      <c r="Q139">
        <v>360</v>
      </c>
      <c r="R139">
        <v>1</v>
      </c>
      <c r="S139">
        <v>5.0876205646688248</v>
      </c>
      <c r="T139" t="str">
        <f t="shared" si="14"/>
        <v>Less than 80%</v>
      </c>
      <c r="U139">
        <v>64.705882352941174</v>
      </c>
      <c r="V139">
        <v>8</v>
      </c>
      <c r="W139">
        <v>1</v>
      </c>
    </row>
    <row r="140" spans="1:31">
      <c r="A140">
        <v>133</v>
      </c>
      <c r="B140">
        <v>40</v>
      </c>
      <c r="C140">
        <v>15.38</v>
      </c>
      <c r="D140">
        <v>74000</v>
      </c>
      <c r="E140">
        <v>162000</v>
      </c>
      <c r="F140">
        <v>0</v>
      </c>
      <c r="G140" t="s">
        <v>15</v>
      </c>
      <c r="H140">
        <v>495000</v>
      </c>
      <c r="I140">
        <v>395000</v>
      </c>
      <c r="J140">
        <v>360</v>
      </c>
      <c r="K140" t="str">
        <f t="shared" si="10"/>
        <v>10-20</v>
      </c>
      <c r="L140" s="13">
        <f t="shared" si="11"/>
        <v>79.797979797979806</v>
      </c>
      <c r="M140" t="str">
        <f t="shared" si="12"/>
        <v>not selected</v>
      </c>
      <c r="N140" t="str">
        <f t="shared" si="13"/>
        <v>not selected</v>
      </c>
      <c r="O140">
        <v>79.797979797979806</v>
      </c>
      <c r="P140">
        <v>37</v>
      </c>
      <c r="Q140">
        <v>360</v>
      </c>
      <c r="R140">
        <v>0</v>
      </c>
      <c r="S140">
        <v>5.3166123405709511</v>
      </c>
      <c r="T140" t="str">
        <f t="shared" si="14"/>
        <v>Less than 80%</v>
      </c>
      <c r="U140">
        <v>79.797979797979806</v>
      </c>
      <c r="V140">
        <v>37</v>
      </c>
      <c r="W140">
        <v>0</v>
      </c>
    </row>
    <row r="141" spans="1:31">
      <c r="A141">
        <v>134</v>
      </c>
      <c r="B141">
        <v>27</v>
      </c>
      <c r="C141">
        <v>17.350000000000001</v>
      </c>
      <c r="D141">
        <v>102800</v>
      </c>
      <c r="E141">
        <v>27000</v>
      </c>
      <c r="F141">
        <v>0</v>
      </c>
      <c r="G141" t="s">
        <v>15</v>
      </c>
      <c r="H141">
        <v>325000</v>
      </c>
      <c r="I141">
        <v>125000</v>
      </c>
      <c r="J141">
        <v>360</v>
      </c>
      <c r="K141" t="str">
        <f t="shared" si="10"/>
        <v>10-20</v>
      </c>
      <c r="L141" s="13">
        <f t="shared" si="11"/>
        <v>38.461538461538467</v>
      </c>
      <c r="M141" t="str">
        <f t="shared" si="12"/>
        <v>not selected</v>
      </c>
      <c r="N141" t="str">
        <f t="shared" si="13"/>
        <v>not selected</v>
      </c>
      <c r="O141">
        <v>38.461538461538467</v>
      </c>
      <c r="P141">
        <v>30</v>
      </c>
      <c r="Q141">
        <v>360</v>
      </c>
      <c r="R141">
        <v>0</v>
      </c>
      <c r="S141">
        <v>3.6766723626060274</v>
      </c>
      <c r="T141" t="str">
        <f t="shared" si="14"/>
        <v>Less than 80%</v>
      </c>
      <c r="U141">
        <v>38.461538461538467</v>
      </c>
      <c r="V141">
        <v>30</v>
      </c>
      <c r="W141">
        <v>0</v>
      </c>
    </row>
    <row r="142" spans="1:31">
      <c r="A142">
        <v>135</v>
      </c>
      <c r="B142">
        <v>5</v>
      </c>
      <c r="C142">
        <v>18.28</v>
      </c>
      <c r="D142">
        <v>71400</v>
      </c>
      <c r="E142">
        <v>277000</v>
      </c>
      <c r="F142">
        <v>0</v>
      </c>
      <c r="G142" t="s">
        <v>15</v>
      </c>
      <c r="H142">
        <v>145000</v>
      </c>
      <c r="I142">
        <v>115000</v>
      </c>
      <c r="J142">
        <v>360</v>
      </c>
      <c r="K142" t="str">
        <f t="shared" si="10"/>
        <v>10-20</v>
      </c>
      <c r="L142" s="13">
        <f t="shared" si="11"/>
        <v>79.310344827586206</v>
      </c>
      <c r="M142" t="str">
        <f t="shared" si="12"/>
        <v>not selected</v>
      </c>
      <c r="N142" t="str">
        <f t="shared" si="13"/>
        <v>selected</v>
      </c>
      <c r="O142">
        <v>79.310344827586206</v>
      </c>
      <c r="P142">
        <v>27</v>
      </c>
      <c r="Q142">
        <v>360</v>
      </c>
      <c r="R142">
        <v>0</v>
      </c>
      <c r="S142">
        <v>4.6979450262564662</v>
      </c>
      <c r="T142" t="str">
        <f t="shared" si="14"/>
        <v>Less than 80%</v>
      </c>
      <c r="U142">
        <v>79.310344827586206</v>
      </c>
      <c r="V142">
        <v>27</v>
      </c>
      <c r="W142">
        <v>0</v>
      </c>
    </row>
    <row r="143" spans="1:31">
      <c r="A143">
        <v>136</v>
      </c>
      <c r="B143">
        <v>51</v>
      </c>
      <c r="C143">
        <v>9.9700000000000006</v>
      </c>
      <c r="D143">
        <v>124900</v>
      </c>
      <c r="E143">
        <v>94000</v>
      </c>
      <c r="F143">
        <v>0</v>
      </c>
      <c r="G143" t="s">
        <v>15</v>
      </c>
      <c r="H143">
        <v>545000</v>
      </c>
      <c r="I143">
        <v>385000</v>
      </c>
      <c r="J143">
        <v>360</v>
      </c>
      <c r="K143" t="str">
        <f t="shared" si="10"/>
        <v>0-10</v>
      </c>
      <c r="L143" s="13">
        <f t="shared" si="11"/>
        <v>70.642201834862391</v>
      </c>
      <c r="M143" t="str">
        <f t="shared" si="12"/>
        <v>not selected</v>
      </c>
      <c r="N143" t="str">
        <f t="shared" si="13"/>
        <v>not selected</v>
      </c>
      <c r="O143">
        <v>70.642201834862391</v>
      </c>
      <c r="P143">
        <v>44</v>
      </c>
      <c r="Q143">
        <v>360</v>
      </c>
      <c r="R143">
        <v>0</v>
      </c>
      <c r="S143">
        <v>4.0611461935166373</v>
      </c>
      <c r="T143" t="str">
        <f t="shared" si="14"/>
        <v>Less than 80%</v>
      </c>
      <c r="U143">
        <v>70.642201834862391</v>
      </c>
      <c r="V143">
        <v>44</v>
      </c>
      <c r="W143">
        <v>0</v>
      </c>
    </row>
    <row r="144" spans="1:31">
      <c r="A144">
        <v>137</v>
      </c>
      <c r="B144">
        <v>18</v>
      </c>
      <c r="C144">
        <v>8.75</v>
      </c>
      <c r="D144">
        <v>79600</v>
      </c>
      <c r="E144">
        <v>55000</v>
      </c>
      <c r="F144">
        <v>0</v>
      </c>
      <c r="G144" t="s">
        <v>15</v>
      </c>
      <c r="H144">
        <v>275000</v>
      </c>
      <c r="I144">
        <v>125000</v>
      </c>
      <c r="J144">
        <v>360</v>
      </c>
      <c r="K144" t="str">
        <f t="shared" si="10"/>
        <v>0-10</v>
      </c>
      <c r="L144" s="13">
        <f t="shared" si="11"/>
        <v>45.454545454545453</v>
      </c>
      <c r="M144" t="str">
        <f t="shared" si="12"/>
        <v>not selected</v>
      </c>
      <c r="N144" t="str">
        <f t="shared" si="13"/>
        <v>not selected</v>
      </c>
      <c r="O144">
        <v>45.454545454545453</v>
      </c>
      <c r="P144">
        <v>55</v>
      </c>
      <c r="Q144">
        <v>360</v>
      </c>
      <c r="R144">
        <v>0</v>
      </c>
      <c r="S144">
        <v>4.3894205056637912</v>
      </c>
      <c r="T144" t="str">
        <f t="shared" si="14"/>
        <v>Less than 80%</v>
      </c>
      <c r="U144">
        <v>45.454545454545453</v>
      </c>
      <c r="V144">
        <v>55</v>
      </c>
      <c r="W144">
        <v>0</v>
      </c>
    </row>
    <row r="145" spans="1:25">
      <c r="A145">
        <v>138</v>
      </c>
      <c r="B145">
        <v>51</v>
      </c>
      <c r="C145">
        <v>16.96</v>
      </c>
      <c r="D145">
        <v>83400</v>
      </c>
      <c r="E145">
        <v>143000</v>
      </c>
      <c r="F145">
        <v>0</v>
      </c>
      <c r="G145" t="s">
        <v>15</v>
      </c>
      <c r="H145">
        <v>405000</v>
      </c>
      <c r="I145">
        <v>355000</v>
      </c>
      <c r="J145">
        <v>360</v>
      </c>
      <c r="K145" t="str">
        <f t="shared" si="10"/>
        <v>10-20</v>
      </c>
      <c r="L145" s="13">
        <f t="shared" si="11"/>
        <v>87.654320987654316</v>
      </c>
      <c r="M145" t="str">
        <f t="shared" si="12"/>
        <v>not selected</v>
      </c>
      <c r="N145" t="str">
        <f t="shared" si="13"/>
        <v>not selected</v>
      </c>
      <c r="O145">
        <v>87.654320987654316</v>
      </c>
      <c r="P145">
        <v>20</v>
      </c>
      <c r="Q145">
        <v>360</v>
      </c>
      <c r="R145">
        <v>0</v>
      </c>
      <c r="S145">
        <v>4.925812619831647</v>
      </c>
      <c r="T145" t="str">
        <f t="shared" si="14"/>
        <v>More than 80%</v>
      </c>
      <c r="U145">
        <v>87.654320987654316</v>
      </c>
      <c r="V145">
        <v>20</v>
      </c>
      <c r="W145">
        <v>0</v>
      </c>
    </row>
    <row r="146" spans="1:25">
      <c r="A146">
        <v>139</v>
      </c>
      <c r="B146">
        <v>36</v>
      </c>
      <c r="C146">
        <v>8.77</v>
      </c>
      <c r="D146">
        <v>83700</v>
      </c>
      <c r="E146">
        <v>83000</v>
      </c>
      <c r="F146">
        <v>0</v>
      </c>
      <c r="G146" t="s">
        <v>15</v>
      </c>
      <c r="H146">
        <v>185000</v>
      </c>
      <c r="I146">
        <v>85000</v>
      </c>
      <c r="J146">
        <v>360</v>
      </c>
      <c r="K146" t="str">
        <f t="shared" si="10"/>
        <v>0-10</v>
      </c>
      <c r="L146" s="13">
        <f t="shared" si="11"/>
        <v>45.945945945945951</v>
      </c>
      <c r="M146" t="str">
        <f t="shared" si="12"/>
        <v>not selected</v>
      </c>
      <c r="N146" t="str">
        <f t="shared" si="13"/>
        <v>not selected</v>
      </c>
      <c r="O146">
        <v>45.945945945945951</v>
      </c>
      <c r="P146">
        <v>34</v>
      </c>
      <c r="Q146">
        <v>360</v>
      </c>
      <c r="R146">
        <v>0</v>
      </c>
      <c r="S146">
        <v>5.0129317358355667</v>
      </c>
      <c r="T146" t="str">
        <f t="shared" si="14"/>
        <v>Less than 80%</v>
      </c>
      <c r="U146">
        <v>45.945945945945951</v>
      </c>
      <c r="V146">
        <v>34</v>
      </c>
      <c r="W146">
        <v>0</v>
      </c>
    </row>
    <row r="147" spans="1:25">
      <c r="A147">
        <v>140</v>
      </c>
      <c r="B147">
        <v>27</v>
      </c>
      <c r="C147">
        <v>76.5</v>
      </c>
      <c r="D147">
        <v>102800</v>
      </c>
      <c r="E147">
        <v>115000</v>
      </c>
      <c r="F147">
        <v>0</v>
      </c>
      <c r="G147" t="s">
        <v>15</v>
      </c>
      <c r="H147">
        <v>505000</v>
      </c>
      <c r="I147">
        <v>275000</v>
      </c>
      <c r="J147">
        <v>360</v>
      </c>
      <c r="K147" t="str">
        <f t="shared" si="10"/>
        <v>More than 50</v>
      </c>
      <c r="L147" s="13">
        <f t="shared" si="11"/>
        <v>54.455445544554458</v>
      </c>
      <c r="M147" t="str">
        <f t="shared" si="12"/>
        <v>not selected</v>
      </c>
      <c r="N147" t="str">
        <f t="shared" si="13"/>
        <v>not selected</v>
      </c>
      <c r="O147">
        <v>54.455445544554458</v>
      </c>
      <c r="P147">
        <v>20</v>
      </c>
      <c r="Q147">
        <v>360</v>
      </c>
      <c r="R147">
        <v>0</v>
      </c>
      <c r="S147">
        <v>4.986131224378255</v>
      </c>
      <c r="T147" t="str">
        <f t="shared" si="14"/>
        <v>Less than 80%</v>
      </c>
      <c r="U147">
        <v>54.455445544554458</v>
      </c>
      <c r="V147">
        <v>20</v>
      </c>
      <c r="W147">
        <v>0</v>
      </c>
    </row>
    <row r="148" spans="1:25">
      <c r="A148">
        <v>141</v>
      </c>
      <c r="B148">
        <v>36</v>
      </c>
      <c r="C148">
        <v>97.18</v>
      </c>
      <c r="D148">
        <v>96500</v>
      </c>
      <c r="E148">
        <v>111000</v>
      </c>
      <c r="F148">
        <v>0</v>
      </c>
      <c r="G148" t="s">
        <v>15</v>
      </c>
      <c r="H148">
        <v>715000</v>
      </c>
      <c r="I148">
        <v>485000</v>
      </c>
      <c r="J148">
        <v>360</v>
      </c>
      <c r="K148" t="str">
        <f t="shared" si="10"/>
        <v>More than 50</v>
      </c>
      <c r="L148" s="13">
        <f t="shared" si="11"/>
        <v>67.832167832167841</v>
      </c>
      <c r="M148" t="str">
        <f t="shared" si="12"/>
        <v>not selected</v>
      </c>
      <c r="N148" t="str">
        <f t="shared" si="13"/>
        <v>not selected</v>
      </c>
      <c r="O148">
        <v>67.832167832167841</v>
      </c>
      <c r="P148">
        <v>33.443836177667201</v>
      </c>
      <c r="Q148">
        <v>360</v>
      </c>
      <c r="R148">
        <v>0</v>
      </c>
      <c r="S148">
        <v>5.3650130978157922</v>
      </c>
      <c r="T148" t="str">
        <f t="shared" si="14"/>
        <v>Less than 80%</v>
      </c>
      <c r="U148">
        <v>67.832167832167841</v>
      </c>
      <c r="V148">
        <v>33.443836177667201</v>
      </c>
      <c r="W148">
        <v>0</v>
      </c>
    </row>
    <row r="149" spans="1:25">
      <c r="A149">
        <v>142</v>
      </c>
      <c r="B149">
        <v>6</v>
      </c>
      <c r="C149">
        <v>31.13</v>
      </c>
      <c r="D149">
        <v>127900</v>
      </c>
      <c r="E149">
        <v>199000</v>
      </c>
      <c r="F149">
        <v>0</v>
      </c>
      <c r="G149" t="s">
        <v>15</v>
      </c>
      <c r="H149">
        <v>705000</v>
      </c>
      <c r="I149">
        <v>555000</v>
      </c>
      <c r="J149">
        <v>360</v>
      </c>
      <c r="K149" t="str">
        <f t="shared" si="10"/>
        <v>30-40</v>
      </c>
      <c r="L149" s="13">
        <f t="shared" si="11"/>
        <v>78.723404255319153</v>
      </c>
      <c r="M149" t="str">
        <f t="shared" si="12"/>
        <v>not selected</v>
      </c>
      <c r="N149" t="str">
        <f t="shared" si="13"/>
        <v>not selected</v>
      </c>
      <c r="O149">
        <v>78.723404255319153</v>
      </c>
      <c r="P149">
        <v>37</v>
      </c>
      <c r="Q149">
        <v>360</v>
      </c>
      <c r="R149">
        <v>0</v>
      </c>
      <c r="S149">
        <v>5.5132434300444224</v>
      </c>
      <c r="T149" t="str">
        <f t="shared" si="14"/>
        <v>Less than 80%</v>
      </c>
      <c r="U149">
        <v>78.723404255319153</v>
      </c>
      <c r="V149">
        <v>37</v>
      </c>
      <c r="W149">
        <v>0</v>
      </c>
    </row>
    <row r="150" spans="1:25">
      <c r="A150">
        <v>143</v>
      </c>
      <c r="B150">
        <v>25</v>
      </c>
      <c r="C150">
        <v>16.149999999999999</v>
      </c>
      <c r="D150">
        <v>114000</v>
      </c>
      <c r="E150">
        <v>123000</v>
      </c>
      <c r="F150">
        <v>0</v>
      </c>
      <c r="G150" t="s">
        <v>15</v>
      </c>
      <c r="H150">
        <v>605000</v>
      </c>
      <c r="I150">
        <v>335000</v>
      </c>
      <c r="J150">
        <v>360</v>
      </c>
      <c r="K150" t="str">
        <f t="shared" si="10"/>
        <v>10-20</v>
      </c>
      <c r="L150" s="13">
        <f t="shared" si="11"/>
        <v>55.371900826446286</v>
      </c>
      <c r="M150" t="str">
        <f t="shared" si="12"/>
        <v>not selected</v>
      </c>
      <c r="N150" t="str">
        <f t="shared" si="13"/>
        <v>not selected</v>
      </c>
      <c r="O150">
        <v>55.371900826446286</v>
      </c>
      <c r="P150">
        <v>39</v>
      </c>
      <c r="Q150">
        <v>360</v>
      </c>
      <c r="R150">
        <v>0</v>
      </c>
      <c r="S150">
        <v>4.4858897127587767</v>
      </c>
      <c r="T150" t="str">
        <f t="shared" si="14"/>
        <v>Less than 80%</v>
      </c>
      <c r="U150">
        <v>55.371900826446286</v>
      </c>
      <c r="V150">
        <v>39</v>
      </c>
      <c r="W150">
        <v>0</v>
      </c>
    </row>
    <row r="151" spans="1:25">
      <c r="A151">
        <v>144</v>
      </c>
      <c r="B151">
        <v>49</v>
      </c>
      <c r="C151">
        <v>14.24</v>
      </c>
      <c r="D151">
        <v>87500</v>
      </c>
      <c r="E151">
        <v>87000</v>
      </c>
      <c r="F151">
        <v>0</v>
      </c>
      <c r="G151" t="s">
        <v>15</v>
      </c>
      <c r="H151">
        <v>485000</v>
      </c>
      <c r="I151">
        <v>285000</v>
      </c>
      <c r="J151">
        <v>360</v>
      </c>
      <c r="K151" t="str">
        <f t="shared" si="10"/>
        <v>10-20</v>
      </c>
      <c r="L151" s="13">
        <f t="shared" si="11"/>
        <v>58.762886597938149</v>
      </c>
      <c r="M151" t="str">
        <f t="shared" si="12"/>
        <v>not selected</v>
      </c>
      <c r="N151" t="str">
        <f t="shared" si="13"/>
        <v>not selected</v>
      </c>
      <c r="O151">
        <v>58.762886597938149</v>
      </c>
      <c r="P151">
        <v>43</v>
      </c>
      <c r="Q151">
        <v>360</v>
      </c>
      <c r="R151">
        <v>0</v>
      </c>
      <c r="S151">
        <v>5.0798836056634107</v>
      </c>
      <c r="T151" t="str">
        <f t="shared" si="14"/>
        <v>Less than 80%</v>
      </c>
      <c r="U151">
        <v>58.762886597938149</v>
      </c>
      <c r="V151">
        <v>43</v>
      </c>
      <c r="W151">
        <v>0</v>
      </c>
    </row>
    <row r="152" spans="1:25">
      <c r="A152">
        <v>145</v>
      </c>
      <c r="B152">
        <v>18</v>
      </c>
      <c r="C152">
        <v>11.74</v>
      </c>
      <c r="D152">
        <v>81300</v>
      </c>
      <c r="E152">
        <v>95000</v>
      </c>
      <c r="F152">
        <v>0</v>
      </c>
      <c r="G152" t="s">
        <v>15</v>
      </c>
      <c r="H152">
        <v>145000</v>
      </c>
      <c r="I152">
        <v>75000</v>
      </c>
      <c r="J152">
        <v>180</v>
      </c>
      <c r="K152" t="str">
        <f t="shared" si="10"/>
        <v>10-20</v>
      </c>
      <c r="L152" s="13">
        <f t="shared" si="11"/>
        <v>51.724137931034484</v>
      </c>
      <c r="M152" t="str">
        <f t="shared" si="12"/>
        <v>selected</v>
      </c>
      <c r="N152" t="str">
        <f t="shared" si="13"/>
        <v>not selected</v>
      </c>
      <c r="O152">
        <v>51.724137931034484</v>
      </c>
      <c r="P152">
        <v>38</v>
      </c>
      <c r="Q152">
        <v>180</v>
      </c>
      <c r="R152">
        <v>0</v>
      </c>
      <c r="S152">
        <v>4.2766478732216973</v>
      </c>
      <c r="T152" t="str">
        <f t="shared" si="14"/>
        <v>Less than 80%</v>
      </c>
      <c r="U152">
        <v>51.724137931034484</v>
      </c>
      <c r="V152">
        <v>38</v>
      </c>
      <c r="W152">
        <v>0</v>
      </c>
    </row>
    <row r="153" spans="1:25">
      <c r="A153">
        <v>146</v>
      </c>
      <c r="B153">
        <v>6</v>
      </c>
      <c r="C153">
        <v>70.38</v>
      </c>
      <c r="D153">
        <v>83300</v>
      </c>
      <c r="E153">
        <v>127000</v>
      </c>
      <c r="F153">
        <v>0</v>
      </c>
      <c r="G153" t="s">
        <v>15</v>
      </c>
      <c r="H153">
        <v>805000</v>
      </c>
      <c r="I153">
        <v>155000</v>
      </c>
      <c r="J153">
        <v>360</v>
      </c>
      <c r="K153" t="str">
        <f t="shared" si="10"/>
        <v>More than 50</v>
      </c>
      <c r="L153" s="13">
        <f t="shared" si="11"/>
        <v>19.254658385093169</v>
      </c>
      <c r="M153" t="str">
        <f t="shared" si="12"/>
        <v>not selected</v>
      </c>
      <c r="N153" t="str">
        <f t="shared" si="13"/>
        <v>not selected</v>
      </c>
      <c r="O153">
        <v>19.254658385093169</v>
      </c>
      <c r="P153">
        <v>15</v>
      </c>
      <c r="Q153">
        <v>360</v>
      </c>
      <c r="R153">
        <v>0</v>
      </c>
      <c r="S153">
        <v>3.3866661939402887</v>
      </c>
      <c r="T153" t="str">
        <f t="shared" si="14"/>
        <v>Less than 80%</v>
      </c>
      <c r="U153">
        <v>19.254658385093169</v>
      </c>
      <c r="V153">
        <v>15</v>
      </c>
      <c r="W153">
        <v>0</v>
      </c>
    </row>
    <row r="154" spans="1:25">
      <c r="A154">
        <v>147</v>
      </c>
      <c r="B154">
        <v>12</v>
      </c>
      <c r="C154">
        <v>40.75</v>
      </c>
      <c r="D154">
        <v>68300</v>
      </c>
      <c r="E154">
        <v>101000</v>
      </c>
      <c r="F154">
        <v>0</v>
      </c>
      <c r="G154" t="s">
        <v>15</v>
      </c>
      <c r="H154">
        <v>515000</v>
      </c>
      <c r="I154">
        <v>375000</v>
      </c>
      <c r="J154">
        <v>360</v>
      </c>
      <c r="K154" t="str">
        <f t="shared" si="10"/>
        <v>40-50</v>
      </c>
      <c r="L154" s="13">
        <f t="shared" si="11"/>
        <v>72.815533980582529</v>
      </c>
      <c r="M154" t="str">
        <f t="shared" si="12"/>
        <v>not selected</v>
      </c>
      <c r="N154" t="str">
        <f t="shared" si="13"/>
        <v>not selected</v>
      </c>
      <c r="O154">
        <v>72.815533980582529</v>
      </c>
      <c r="P154">
        <v>28</v>
      </c>
      <c r="Q154">
        <v>360</v>
      </c>
      <c r="R154">
        <v>0</v>
      </c>
      <c r="S154">
        <v>3.8647168765169964</v>
      </c>
      <c r="T154" t="str">
        <f t="shared" si="14"/>
        <v>Less than 80%</v>
      </c>
      <c r="U154">
        <v>72.815533980582529</v>
      </c>
      <c r="V154">
        <v>28</v>
      </c>
      <c r="W154">
        <v>0</v>
      </c>
      <c r="X154" s="23"/>
      <c r="Y154" s="23"/>
    </row>
    <row r="155" spans="1:25">
      <c r="A155">
        <v>148</v>
      </c>
      <c r="B155">
        <v>6</v>
      </c>
      <c r="C155">
        <v>36.35</v>
      </c>
      <c r="D155">
        <v>86700</v>
      </c>
      <c r="E155">
        <v>179000</v>
      </c>
      <c r="F155">
        <v>0</v>
      </c>
      <c r="G155" t="s">
        <v>15</v>
      </c>
      <c r="H155">
        <v>775000</v>
      </c>
      <c r="I155">
        <v>385000</v>
      </c>
      <c r="J155">
        <v>360</v>
      </c>
      <c r="K155" t="str">
        <f t="shared" si="10"/>
        <v>30-40</v>
      </c>
      <c r="L155" s="13">
        <f t="shared" si="11"/>
        <v>49.677419354838712</v>
      </c>
      <c r="M155" t="str">
        <f t="shared" si="12"/>
        <v>not selected</v>
      </c>
      <c r="N155" t="str">
        <f t="shared" si="13"/>
        <v>not selected</v>
      </c>
      <c r="O155">
        <v>49.677419354838712</v>
      </c>
      <c r="P155">
        <v>15</v>
      </c>
      <c r="Q155">
        <v>360</v>
      </c>
      <c r="R155">
        <v>0</v>
      </c>
      <c r="S155">
        <v>3.2368964114147332</v>
      </c>
      <c r="T155" t="str">
        <f t="shared" si="14"/>
        <v>Less than 80%</v>
      </c>
      <c r="U155">
        <v>49.677419354838712</v>
      </c>
      <c r="V155">
        <v>15</v>
      </c>
      <c r="W155">
        <v>0</v>
      </c>
    </row>
    <row r="156" spans="1:25">
      <c r="A156">
        <v>149</v>
      </c>
      <c r="B156">
        <v>8</v>
      </c>
      <c r="C156">
        <v>10.17</v>
      </c>
      <c r="D156">
        <v>100000</v>
      </c>
      <c r="E156">
        <v>180000</v>
      </c>
      <c r="F156">
        <v>0</v>
      </c>
      <c r="G156" t="s">
        <v>15</v>
      </c>
      <c r="H156">
        <v>705000</v>
      </c>
      <c r="I156">
        <v>495000</v>
      </c>
      <c r="J156">
        <v>360</v>
      </c>
      <c r="K156" t="str">
        <f t="shared" si="10"/>
        <v>10-20</v>
      </c>
      <c r="L156" s="13">
        <f t="shared" si="11"/>
        <v>70.212765957446805</v>
      </c>
      <c r="M156" t="str">
        <f t="shared" si="12"/>
        <v>not selected</v>
      </c>
      <c r="N156" t="str">
        <f t="shared" si="13"/>
        <v>not selected</v>
      </c>
      <c r="O156">
        <v>70.212765957446805</v>
      </c>
      <c r="P156">
        <v>16</v>
      </c>
      <c r="Q156">
        <v>360</v>
      </c>
      <c r="R156">
        <v>0</v>
      </c>
      <c r="S156">
        <v>5.2861945933741614</v>
      </c>
      <c r="T156" t="str">
        <f t="shared" si="14"/>
        <v>Less than 80%</v>
      </c>
      <c r="U156">
        <v>70.212765957446805</v>
      </c>
      <c r="V156">
        <v>16</v>
      </c>
      <c r="W156">
        <v>0</v>
      </c>
    </row>
    <row r="157" spans="1:25">
      <c r="A157">
        <v>150</v>
      </c>
      <c r="B157">
        <v>27</v>
      </c>
      <c r="C157">
        <v>8.26</v>
      </c>
      <c r="D157">
        <v>102800</v>
      </c>
      <c r="E157">
        <v>50000</v>
      </c>
      <c r="F157">
        <v>0</v>
      </c>
      <c r="G157" t="s">
        <v>15</v>
      </c>
      <c r="H157">
        <v>215000</v>
      </c>
      <c r="I157">
        <v>155000</v>
      </c>
      <c r="J157">
        <v>180</v>
      </c>
      <c r="K157" t="str">
        <f t="shared" si="10"/>
        <v>0-10</v>
      </c>
      <c r="L157" s="13">
        <f t="shared" si="11"/>
        <v>72.093023255813947</v>
      </c>
      <c r="M157" t="str">
        <f t="shared" si="12"/>
        <v>selected</v>
      </c>
      <c r="N157" t="str">
        <f t="shared" si="13"/>
        <v>not selected</v>
      </c>
      <c r="O157">
        <v>72.093023255813947</v>
      </c>
      <c r="P157">
        <v>21</v>
      </c>
      <c r="Q157">
        <v>180</v>
      </c>
      <c r="R157">
        <v>0</v>
      </c>
      <c r="S157">
        <v>4.445240232283922</v>
      </c>
      <c r="T157" t="str">
        <f t="shared" si="14"/>
        <v>Less than 80%</v>
      </c>
      <c r="U157">
        <v>72.093023255813947</v>
      </c>
      <c r="V157">
        <v>21</v>
      </c>
      <c r="W157">
        <v>0</v>
      </c>
    </row>
    <row r="158" spans="1:25">
      <c r="A158">
        <v>151</v>
      </c>
      <c r="B158">
        <v>17</v>
      </c>
      <c r="C158">
        <v>7.45</v>
      </c>
      <c r="D158">
        <v>89100</v>
      </c>
      <c r="E158">
        <v>174000</v>
      </c>
      <c r="F158">
        <v>0</v>
      </c>
      <c r="G158" t="s">
        <v>15</v>
      </c>
      <c r="H158">
        <v>275000</v>
      </c>
      <c r="I158">
        <v>145000</v>
      </c>
      <c r="J158">
        <v>180</v>
      </c>
      <c r="K158" t="str">
        <f t="shared" si="10"/>
        <v>0-10</v>
      </c>
      <c r="L158" s="13">
        <f t="shared" si="11"/>
        <v>52.72727272727272</v>
      </c>
      <c r="M158" t="str">
        <f t="shared" si="12"/>
        <v>selected</v>
      </c>
      <c r="N158" t="str">
        <f t="shared" si="13"/>
        <v>not selected</v>
      </c>
      <c r="O158">
        <v>52.72727272727272</v>
      </c>
      <c r="P158">
        <v>24</v>
      </c>
      <c r="Q158">
        <v>180</v>
      </c>
      <c r="R158">
        <v>0</v>
      </c>
      <c r="S158">
        <v>3.4177909180688792</v>
      </c>
      <c r="T158" t="str">
        <f t="shared" si="14"/>
        <v>Less than 80%</v>
      </c>
      <c r="U158">
        <v>52.72727272727272</v>
      </c>
      <c r="V158">
        <v>24</v>
      </c>
      <c r="W158">
        <v>0</v>
      </c>
    </row>
    <row r="159" spans="1:25">
      <c r="A159">
        <v>152</v>
      </c>
      <c r="B159">
        <v>8</v>
      </c>
      <c r="C159">
        <v>8.81</v>
      </c>
      <c r="D159">
        <v>95900</v>
      </c>
      <c r="E159">
        <v>310000</v>
      </c>
      <c r="F159">
        <v>0</v>
      </c>
      <c r="G159" t="s">
        <v>15</v>
      </c>
      <c r="H159">
        <v>675000</v>
      </c>
      <c r="I159">
        <v>525000</v>
      </c>
      <c r="J159">
        <v>360</v>
      </c>
      <c r="K159" t="str">
        <f t="shared" si="10"/>
        <v>0-10</v>
      </c>
      <c r="L159" s="13">
        <f t="shared" si="11"/>
        <v>77.777777777777786</v>
      </c>
      <c r="M159" t="str">
        <f t="shared" si="12"/>
        <v>not selected</v>
      </c>
      <c r="N159" t="str">
        <f t="shared" si="13"/>
        <v>selected</v>
      </c>
      <c r="O159">
        <v>77.777777777777786</v>
      </c>
      <c r="P159">
        <v>20</v>
      </c>
      <c r="Q159">
        <v>360</v>
      </c>
      <c r="R159">
        <v>0</v>
      </c>
      <c r="S159">
        <v>3.8328358406225833</v>
      </c>
      <c r="T159" t="str">
        <f t="shared" si="14"/>
        <v>Less than 80%</v>
      </c>
      <c r="U159">
        <v>77.777777777777786</v>
      </c>
      <c r="V159">
        <v>20</v>
      </c>
      <c r="W159">
        <v>0</v>
      </c>
    </row>
    <row r="160" spans="1:25">
      <c r="A160">
        <v>153</v>
      </c>
      <c r="B160">
        <v>39</v>
      </c>
      <c r="C160">
        <v>5.26</v>
      </c>
      <c r="D160">
        <v>70300</v>
      </c>
      <c r="E160">
        <v>56000</v>
      </c>
      <c r="F160">
        <v>0</v>
      </c>
      <c r="G160" t="s">
        <v>15</v>
      </c>
      <c r="H160">
        <v>175000</v>
      </c>
      <c r="I160">
        <v>125000</v>
      </c>
      <c r="J160">
        <v>180</v>
      </c>
      <c r="K160" t="str">
        <f t="shared" si="10"/>
        <v>0-10</v>
      </c>
      <c r="L160" s="13">
        <f t="shared" si="11"/>
        <v>71.428571428571431</v>
      </c>
      <c r="M160" t="str">
        <f t="shared" si="12"/>
        <v>selected</v>
      </c>
      <c r="N160" t="str">
        <f t="shared" si="13"/>
        <v>not selected</v>
      </c>
      <c r="O160">
        <v>71.428571428571431</v>
      </c>
      <c r="P160">
        <v>24</v>
      </c>
      <c r="Q160">
        <v>180</v>
      </c>
      <c r="R160">
        <v>0</v>
      </c>
      <c r="S160">
        <v>4.0722963122890841</v>
      </c>
      <c r="T160" t="str">
        <f t="shared" si="14"/>
        <v>Less than 80%</v>
      </c>
      <c r="U160">
        <v>71.428571428571431</v>
      </c>
      <c r="V160">
        <v>24</v>
      </c>
      <c r="W160">
        <v>0</v>
      </c>
    </row>
    <row r="161" spans="1:32">
      <c r="A161">
        <v>154</v>
      </c>
      <c r="B161">
        <v>36</v>
      </c>
      <c r="C161">
        <v>4.96</v>
      </c>
      <c r="D161">
        <v>75800</v>
      </c>
      <c r="E161">
        <v>127000</v>
      </c>
      <c r="F161">
        <v>1</v>
      </c>
      <c r="G161" t="s">
        <v>15</v>
      </c>
      <c r="H161">
        <v>285000</v>
      </c>
      <c r="I161">
        <v>235000</v>
      </c>
      <c r="J161">
        <v>360</v>
      </c>
      <c r="K161" t="str">
        <f t="shared" si="10"/>
        <v>0-10</v>
      </c>
      <c r="L161" s="13">
        <f t="shared" si="11"/>
        <v>82.456140350877192</v>
      </c>
      <c r="M161" t="str">
        <f t="shared" si="12"/>
        <v>not selected</v>
      </c>
      <c r="N161" t="str">
        <f t="shared" si="13"/>
        <v>not selected</v>
      </c>
      <c r="O161">
        <v>82.456140350877192</v>
      </c>
      <c r="P161">
        <v>27</v>
      </c>
      <c r="Q161">
        <v>360</v>
      </c>
      <c r="R161">
        <v>1</v>
      </c>
      <c r="S161">
        <v>4.7334828430222551</v>
      </c>
      <c r="T161" t="str">
        <f t="shared" si="14"/>
        <v>More than 80%</v>
      </c>
      <c r="U161">
        <v>82.456140350877192</v>
      </c>
      <c r="V161">
        <v>27</v>
      </c>
      <c r="W161">
        <v>1</v>
      </c>
    </row>
    <row r="162" spans="1:32">
      <c r="A162">
        <v>155</v>
      </c>
      <c r="B162">
        <v>18</v>
      </c>
      <c r="C162">
        <v>3.34</v>
      </c>
      <c r="D162">
        <v>65300</v>
      </c>
      <c r="E162">
        <v>119000</v>
      </c>
      <c r="F162">
        <v>0</v>
      </c>
      <c r="G162" t="s">
        <v>15</v>
      </c>
      <c r="H162">
        <v>195000</v>
      </c>
      <c r="I162">
        <v>185000</v>
      </c>
      <c r="J162">
        <v>240</v>
      </c>
      <c r="K162" t="str">
        <f t="shared" si="10"/>
        <v>0-10</v>
      </c>
      <c r="L162" s="13">
        <f t="shared" si="11"/>
        <v>94.871794871794862</v>
      </c>
      <c r="M162" t="str">
        <f t="shared" si="12"/>
        <v>not selected</v>
      </c>
      <c r="N162" t="str">
        <f t="shared" si="13"/>
        <v>not selected</v>
      </c>
      <c r="O162">
        <v>94.871794871794862</v>
      </c>
      <c r="P162">
        <v>31</v>
      </c>
      <c r="Q162">
        <v>240</v>
      </c>
      <c r="R162">
        <v>0</v>
      </c>
      <c r="S162">
        <v>4.1231395286815591</v>
      </c>
      <c r="T162" t="str">
        <f t="shared" si="14"/>
        <v>More than 80%</v>
      </c>
      <c r="U162">
        <v>94.871794871794862</v>
      </c>
      <c r="V162">
        <v>31</v>
      </c>
      <c r="W162">
        <v>0</v>
      </c>
      <c r="X162" s="24"/>
      <c r="Y162" s="24"/>
      <c r="Z162" s="24"/>
      <c r="AA162" s="24"/>
      <c r="AB162" s="24"/>
      <c r="AC162" s="24"/>
    </row>
    <row r="163" spans="1:32">
      <c r="A163">
        <v>156</v>
      </c>
      <c r="B163">
        <v>1</v>
      </c>
      <c r="C163">
        <v>3.98</v>
      </c>
      <c r="D163">
        <v>71700</v>
      </c>
      <c r="E163">
        <v>115000</v>
      </c>
      <c r="F163">
        <v>0</v>
      </c>
      <c r="G163" t="s">
        <v>15</v>
      </c>
      <c r="H163">
        <v>285000</v>
      </c>
      <c r="I163">
        <v>235000</v>
      </c>
      <c r="J163">
        <v>360</v>
      </c>
      <c r="K163" t="str">
        <f t="shared" si="10"/>
        <v>0-10</v>
      </c>
      <c r="L163" s="13">
        <f t="shared" si="11"/>
        <v>82.456140350877192</v>
      </c>
      <c r="M163" t="str">
        <f t="shared" si="12"/>
        <v>not selected</v>
      </c>
      <c r="N163" t="str">
        <f t="shared" si="13"/>
        <v>not selected</v>
      </c>
      <c r="O163">
        <v>82.456140350877192</v>
      </c>
      <c r="P163">
        <v>32</v>
      </c>
      <c r="Q163">
        <v>360</v>
      </c>
      <c r="R163">
        <v>0</v>
      </c>
      <c r="S163">
        <v>4.6965433484635257</v>
      </c>
      <c r="T163" t="str">
        <f t="shared" si="14"/>
        <v>More than 80%</v>
      </c>
      <c r="U163">
        <v>82.456140350877192</v>
      </c>
      <c r="V163">
        <v>32</v>
      </c>
      <c r="W163">
        <v>0</v>
      </c>
    </row>
    <row r="164" spans="1:32">
      <c r="A164">
        <v>157</v>
      </c>
      <c r="B164">
        <v>13</v>
      </c>
      <c r="C164">
        <v>46.31</v>
      </c>
      <c r="D164">
        <v>52300</v>
      </c>
      <c r="E164">
        <v>139000</v>
      </c>
      <c r="F164">
        <v>0</v>
      </c>
      <c r="G164" t="s">
        <v>15</v>
      </c>
      <c r="H164">
        <v>265000</v>
      </c>
      <c r="I164">
        <v>165000</v>
      </c>
      <c r="J164">
        <v>240</v>
      </c>
      <c r="K164" t="str">
        <f t="shared" si="10"/>
        <v>40-50</v>
      </c>
      <c r="L164" s="13">
        <f t="shared" si="11"/>
        <v>62.264150943396224</v>
      </c>
      <c r="M164" t="str">
        <f t="shared" si="12"/>
        <v>not selected</v>
      </c>
      <c r="N164" t="str">
        <f t="shared" si="13"/>
        <v>not selected</v>
      </c>
      <c r="O164">
        <v>62.264150943396224</v>
      </c>
      <c r="P164">
        <v>36</v>
      </c>
      <c r="Q164">
        <v>240</v>
      </c>
      <c r="R164">
        <v>0</v>
      </c>
      <c r="S164">
        <v>4.917445995310862</v>
      </c>
      <c r="T164" t="str">
        <f t="shared" si="14"/>
        <v>Less than 80%</v>
      </c>
      <c r="U164">
        <v>62.264150943396224</v>
      </c>
      <c r="V164">
        <v>36</v>
      </c>
      <c r="W164">
        <v>0</v>
      </c>
    </row>
    <row r="165" spans="1:32">
      <c r="A165">
        <v>158</v>
      </c>
      <c r="B165">
        <v>27</v>
      </c>
      <c r="C165">
        <v>6.86</v>
      </c>
      <c r="D165">
        <v>102800</v>
      </c>
      <c r="E165">
        <v>132000</v>
      </c>
      <c r="F165">
        <v>0</v>
      </c>
      <c r="G165" t="s">
        <v>15</v>
      </c>
      <c r="H165">
        <v>635000</v>
      </c>
      <c r="I165">
        <v>385000</v>
      </c>
      <c r="J165">
        <v>360</v>
      </c>
      <c r="K165" t="str">
        <f t="shared" si="10"/>
        <v>0-10</v>
      </c>
      <c r="L165" s="13">
        <f t="shared" si="11"/>
        <v>60.629921259842526</v>
      </c>
      <c r="M165" t="str">
        <f t="shared" si="12"/>
        <v>not selected</v>
      </c>
      <c r="N165" t="str">
        <f t="shared" si="13"/>
        <v>not selected</v>
      </c>
      <c r="O165">
        <v>60.629921259842526</v>
      </c>
      <c r="P165">
        <v>37</v>
      </c>
      <c r="Q165">
        <v>360</v>
      </c>
      <c r="R165">
        <v>0</v>
      </c>
      <c r="S165">
        <v>4.9411646674701801</v>
      </c>
      <c r="T165" t="str">
        <f t="shared" si="14"/>
        <v>Less than 80%</v>
      </c>
      <c r="U165">
        <v>60.629921259842526</v>
      </c>
      <c r="V165">
        <v>37</v>
      </c>
      <c r="W165">
        <v>0</v>
      </c>
    </row>
    <row r="166" spans="1:32">
      <c r="A166">
        <v>159</v>
      </c>
      <c r="B166">
        <v>6</v>
      </c>
      <c r="C166">
        <v>28.14</v>
      </c>
      <c r="D166">
        <v>52900</v>
      </c>
      <c r="E166">
        <v>48000</v>
      </c>
      <c r="F166">
        <v>0</v>
      </c>
      <c r="G166" t="s">
        <v>15</v>
      </c>
      <c r="H166">
        <v>655000</v>
      </c>
      <c r="I166">
        <v>305000</v>
      </c>
      <c r="J166">
        <v>360</v>
      </c>
      <c r="K166" t="str">
        <f t="shared" si="10"/>
        <v>20-30</v>
      </c>
      <c r="L166" s="13">
        <f t="shared" si="11"/>
        <v>46.564885496183209</v>
      </c>
      <c r="M166" t="str">
        <f t="shared" si="12"/>
        <v>not selected</v>
      </c>
      <c r="N166" t="str">
        <f t="shared" si="13"/>
        <v>not selected</v>
      </c>
      <c r="O166">
        <v>46.564885496183209</v>
      </c>
      <c r="P166">
        <v>39</v>
      </c>
      <c r="Q166">
        <v>360</v>
      </c>
      <c r="R166">
        <v>0</v>
      </c>
      <c r="S166">
        <v>4.0468590619259359</v>
      </c>
      <c r="T166" t="str">
        <f t="shared" si="14"/>
        <v>Less than 80%</v>
      </c>
      <c r="U166">
        <v>46.564885496183209</v>
      </c>
      <c r="V166">
        <v>39</v>
      </c>
      <c r="W166">
        <v>0</v>
      </c>
    </row>
    <row r="167" spans="1:32">
      <c r="A167">
        <v>160</v>
      </c>
      <c r="B167">
        <v>8</v>
      </c>
      <c r="C167">
        <v>12.96</v>
      </c>
      <c r="D167">
        <v>99400</v>
      </c>
      <c r="E167">
        <v>190000</v>
      </c>
      <c r="F167">
        <v>0</v>
      </c>
      <c r="G167" t="s">
        <v>15</v>
      </c>
      <c r="H167">
        <v>615000</v>
      </c>
      <c r="I167">
        <v>435000</v>
      </c>
      <c r="J167">
        <v>360</v>
      </c>
      <c r="K167" t="str">
        <f t="shared" si="10"/>
        <v>10-20</v>
      </c>
      <c r="L167" s="13">
        <f t="shared" si="11"/>
        <v>70.731707317073173</v>
      </c>
      <c r="M167" t="str">
        <f t="shared" si="12"/>
        <v>not selected</v>
      </c>
      <c r="N167" t="str">
        <f t="shared" si="13"/>
        <v>not selected</v>
      </c>
      <c r="O167">
        <v>70.731707317073173</v>
      </c>
      <c r="P167">
        <v>40</v>
      </c>
      <c r="Q167">
        <v>360</v>
      </c>
      <c r="R167">
        <v>0</v>
      </c>
      <c r="S167">
        <v>5.4914198374161707</v>
      </c>
      <c r="T167" t="str">
        <f t="shared" si="14"/>
        <v>Less than 80%</v>
      </c>
      <c r="U167">
        <v>70.731707317073173</v>
      </c>
      <c r="V167">
        <v>40</v>
      </c>
      <c r="W167">
        <v>0</v>
      </c>
      <c r="X167" s="24"/>
      <c r="Y167" s="24"/>
      <c r="Z167" s="24"/>
      <c r="AA167" s="24"/>
      <c r="AB167" s="24"/>
      <c r="AC167" s="24"/>
      <c r="AD167" s="24"/>
      <c r="AE167" s="24"/>
      <c r="AF167" s="24"/>
    </row>
    <row r="168" spans="1:32">
      <c r="A168">
        <v>161</v>
      </c>
      <c r="B168">
        <v>39</v>
      </c>
      <c r="C168">
        <v>7.71</v>
      </c>
      <c r="D168">
        <v>85200</v>
      </c>
      <c r="E168">
        <v>78000</v>
      </c>
      <c r="F168">
        <v>0</v>
      </c>
      <c r="G168" t="s">
        <v>15</v>
      </c>
      <c r="H168">
        <v>235000</v>
      </c>
      <c r="I168">
        <v>165000</v>
      </c>
      <c r="J168">
        <v>120</v>
      </c>
      <c r="K168" t="str">
        <f t="shared" si="10"/>
        <v>0-10</v>
      </c>
      <c r="L168" s="13">
        <f t="shared" si="11"/>
        <v>70.212765957446805</v>
      </c>
      <c r="M168" t="str">
        <f t="shared" si="12"/>
        <v>selected</v>
      </c>
      <c r="N168" t="str">
        <f t="shared" si="13"/>
        <v>not selected</v>
      </c>
      <c r="O168">
        <v>70.212765957446805</v>
      </c>
      <c r="P168">
        <v>42</v>
      </c>
      <c r="Q168">
        <v>120</v>
      </c>
      <c r="R168">
        <v>0</v>
      </c>
      <c r="S168">
        <v>4.6394240713937984</v>
      </c>
      <c r="T168" t="str">
        <f t="shared" si="14"/>
        <v>Less than 80%</v>
      </c>
      <c r="U168">
        <v>70.212765957446805</v>
      </c>
      <c r="V168">
        <v>42</v>
      </c>
      <c r="W168">
        <v>0</v>
      </c>
    </row>
    <row r="169" spans="1:32">
      <c r="A169">
        <v>162</v>
      </c>
      <c r="B169">
        <v>17</v>
      </c>
      <c r="C169">
        <v>42.02</v>
      </c>
      <c r="D169">
        <v>89100</v>
      </c>
      <c r="E169">
        <v>96000</v>
      </c>
      <c r="F169">
        <v>0</v>
      </c>
      <c r="G169" t="s">
        <v>15</v>
      </c>
      <c r="H169">
        <v>315000</v>
      </c>
      <c r="I169">
        <v>205000</v>
      </c>
      <c r="J169">
        <v>360</v>
      </c>
      <c r="K169" t="str">
        <f t="shared" si="10"/>
        <v>40-50</v>
      </c>
      <c r="L169" s="13">
        <f t="shared" si="11"/>
        <v>65.079365079365076</v>
      </c>
      <c r="M169" t="str">
        <f t="shared" si="12"/>
        <v>not selected</v>
      </c>
      <c r="N169" t="str">
        <f t="shared" si="13"/>
        <v>not selected</v>
      </c>
      <c r="O169">
        <v>65.079365079365076</v>
      </c>
      <c r="P169">
        <v>46</v>
      </c>
      <c r="Q169">
        <v>360</v>
      </c>
      <c r="R169">
        <v>0</v>
      </c>
      <c r="S169">
        <v>5.6069432705858704</v>
      </c>
      <c r="T169" t="str">
        <f t="shared" si="14"/>
        <v>Less than 80%</v>
      </c>
      <c r="U169">
        <v>65.079365079365076</v>
      </c>
      <c r="V169">
        <v>46</v>
      </c>
      <c r="W169">
        <v>0</v>
      </c>
    </row>
    <row r="170" spans="1:32">
      <c r="A170">
        <v>163</v>
      </c>
      <c r="B170">
        <v>6</v>
      </c>
      <c r="C170">
        <v>75.540000000000006</v>
      </c>
      <c r="D170">
        <v>127900</v>
      </c>
      <c r="E170">
        <v>82000</v>
      </c>
      <c r="F170">
        <v>0</v>
      </c>
      <c r="G170" t="s">
        <v>15</v>
      </c>
      <c r="H170">
        <v>965000</v>
      </c>
      <c r="I170">
        <v>305000</v>
      </c>
      <c r="J170">
        <v>360</v>
      </c>
      <c r="K170" t="str">
        <f t="shared" si="10"/>
        <v>More than 50</v>
      </c>
      <c r="L170" s="13">
        <f t="shared" si="11"/>
        <v>31.606217616580313</v>
      </c>
      <c r="M170" t="str">
        <f t="shared" si="12"/>
        <v>not selected</v>
      </c>
      <c r="N170" t="str">
        <f t="shared" si="13"/>
        <v>not selected</v>
      </c>
      <c r="O170">
        <v>31.606217616580313</v>
      </c>
      <c r="P170">
        <v>22</v>
      </c>
      <c r="Q170">
        <v>360</v>
      </c>
      <c r="R170">
        <v>0</v>
      </c>
      <c r="S170">
        <v>3.4912246673146914</v>
      </c>
      <c r="T170" t="str">
        <f t="shared" si="14"/>
        <v>Less than 80%</v>
      </c>
      <c r="U170">
        <v>31.606217616580313</v>
      </c>
      <c r="V170">
        <v>22</v>
      </c>
      <c r="W170">
        <v>0</v>
      </c>
    </row>
    <row r="171" spans="1:32">
      <c r="A171">
        <v>164</v>
      </c>
      <c r="B171">
        <v>6</v>
      </c>
      <c r="C171">
        <v>29.6</v>
      </c>
      <c r="D171">
        <v>83300</v>
      </c>
      <c r="E171">
        <v>112000</v>
      </c>
      <c r="F171">
        <v>0</v>
      </c>
      <c r="G171" t="s">
        <v>15</v>
      </c>
      <c r="H171">
        <v>1005000</v>
      </c>
      <c r="I171">
        <v>575000</v>
      </c>
      <c r="J171">
        <v>360</v>
      </c>
      <c r="K171" t="str">
        <f t="shared" si="10"/>
        <v>20-30</v>
      </c>
      <c r="L171" s="13">
        <f t="shared" si="11"/>
        <v>57.2139303482587</v>
      </c>
      <c r="M171" t="str">
        <f t="shared" si="12"/>
        <v>not selected</v>
      </c>
      <c r="N171" t="str">
        <f t="shared" si="13"/>
        <v>not selected</v>
      </c>
      <c r="O171">
        <v>57.2139303482587</v>
      </c>
      <c r="P171">
        <v>24</v>
      </c>
      <c r="Q171">
        <v>360</v>
      </c>
      <c r="R171">
        <v>0</v>
      </c>
      <c r="S171">
        <v>4.3301311725648004</v>
      </c>
      <c r="T171" t="str">
        <f t="shared" si="14"/>
        <v>Less than 80%</v>
      </c>
      <c r="U171">
        <v>57.2139303482587</v>
      </c>
      <c r="V171">
        <v>24</v>
      </c>
      <c r="W171">
        <v>0</v>
      </c>
    </row>
    <row r="172" spans="1:32">
      <c r="A172">
        <v>165</v>
      </c>
      <c r="B172">
        <v>12</v>
      </c>
      <c r="C172">
        <v>65.92</v>
      </c>
      <c r="D172">
        <v>68100</v>
      </c>
      <c r="E172">
        <v>177000</v>
      </c>
      <c r="F172">
        <v>0</v>
      </c>
      <c r="G172" t="s">
        <v>15</v>
      </c>
      <c r="H172">
        <v>385000</v>
      </c>
      <c r="I172">
        <v>225000</v>
      </c>
      <c r="J172">
        <v>360</v>
      </c>
      <c r="K172" t="str">
        <f t="shared" si="10"/>
        <v>More than 50</v>
      </c>
      <c r="L172" s="13">
        <f t="shared" si="11"/>
        <v>58.441558441558442</v>
      </c>
      <c r="M172" t="str">
        <f t="shared" si="12"/>
        <v>not selected</v>
      </c>
      <c r="N172" t="str">
        <f t="shared" si="13"/>
        <v>not selected</v>
      </c>
      <c r="O172">
        <v>58.441558441558442</v>
      </c>
      <c r="P172">
        <v>35</v>
      </c>
      <c r="Q172">
        <v>360</v>
      </c>
      <c r="R172">
        <v>0</v>
      </c>
      <c r="S172">
        <v>4.4602044703721324</v>
      </c>
      <c r="T172" t="str">
        <f t="shared" si="14"/>
        <v>Less than 80%</v>
      </c>
      <c r="U172">
        <v>58.441558441558442</v>
      </c>
      <c r="V172">
        <v>35</v>
      </c>
      <c r="W172">
        <v>0</v>
      </c>
    </row>
    <row r="173" spans="1:32">
      <c r="A173">
        <v>166</v>
      </c>
      <c r="B173">
        <v>41</v>
      </c>
      <c r="C173">
        <v>16.649999999999999</v>
      </c>
      <c r="D173">
        <v>70600</v>
      </c>
      <c r="E173">
        <v>96000</v>
      </c>
      <c r="F173">
        <v>0</v>
      </c>
      <c r="G173" t="s">
        <v>15</v>
      </c>
      <c r="H173">
        <v>345000</v>
      </c>
      <c r="I173">
        <v>275000</v>
      </c>
      <c r="J173">
        <v>360</v>
      </c>
      <c r="K173" t="str">
        <f t="shared" si="10"/>
        <v>10-20</v>
      </c>
      <c r="L173" s="13">
        <f t="shared" si="11"/>
        <v>79.710144927536234</v>
      </c>
      <c r="M173" t="str">
        <f t="shared" si="12"/>
        <v>not selected</v>
      </c>
      <c r="N173" t="str">
        <f t="shared" si="13"/>
        <v>not selected</v>
      </c>
      <c r="O173">
        <v>79.710144927536234</v>
      </c>
      <c r="P173">
        <v>36</v>
      </c>
      <c r="Q173">
        <v>360</v>
      </c>
      <c r="R173">
        <v>0</v>
      </c>
      <c r="S173">
        <v>5.8561473351000979</v>
      </c>
      <c r="T173" t="str">
        <f t="shared" si="14"/>
        <v>Less than 80%</v>
      </c>
      <c r="U173">
        <v>79.710144927536234</v>
      </c>
      <c r="V173">
        <v>36</v>
      </c>
      <c r="W173">
        <v>0</v>
      </c>
    </row>
    <row r="174" spans="1:32">
      <c r="A174">
        <v>167</v>
      </c>
      <c r="B174">
        <v>29</v>
      </c>
      <c r="C174">
        <v>8.58</v>
      </c>
      <c r="D174">
        <v>56100</v>
      </c>
      <c r="E174">
        <v>34000</v>
      </c>
      <c r="F174">
        <v>1</v>
      </c>
      <c r="G174" t="s">
        <v>15</v>
      </c>
      <c r="H174">
        <v>145000</v>
      </c>
      <c r="I174">
        <v>115000</v>
      </c>
      <c r="J174">
        <v>360</v>
      </c>
      <c r="K174" t="str">
        <f t="shared" si="10"/>
        <v>0-10</v>
      </c>
      <c r="L174" s="13">
        <f t="shared" si="11"/>
        <v>79.310344827586206</v>
      </c>
      <c r="M174" t="str">
        <f t="shared" si="12"/>
        <v>not selected</v>
      </c>
      <c r="N174" t="str">
        <f t="shared" si="13"/>
        <v>not selected</v>
      </c>
      <c r="O174">
        <v>79.310344827586206</v>
      </c>
      <c r="P174">
        <v>36</v>
      </c>
      <c r="Q174">
        <v>360</v>
      </c>
      <c r="R174">
        <v>1</v>
      </c>
      <c r="S174">
        <v>4.3285406514836691</v>
      </c>
      <c r="T174" t="str">
        <f t="shared" si="14"/>
        <v>Less than 80%</v>
      </c>
      <c r="U174">
        <v>79.310344827586206</v>
      </c>
      <c r="V174">
        <v>36</v>
      </c>
      <c r="W174">
        <v>1</v>
      </c>
    </row>
    <row r="175" spans="1:32">
      <c r="A175">
        <v>168</v>
      </c>
      <c r="B175">
        <v>27</v>
      </c>
      <c r="C175">
        <v>12.11</v>
      </c>
      <c r="D175">
        <v>102800</v>
      </c>
      <c r="E175">
        <v>240000</v>
      </c>
      <c r="F175">
        <v>0</v>
      </c>
      <c r="G175" t="s">
        <v>15</v>
      </c>
      <c r="H175">
        <v>905000</v>
      </c>
      <c r="I175">
        <v>375000</v>
      </c>
      <c r="J175">
        <v>360</v>
      </c>
      <c r="K175" t="str">
        <f t="shared" si="10"/>
        <v>10-20</v>
      </c>
      <c r="L175" s="13">
        <f t="shared" si="11"/>
        <v>41.436464088397791</v>
      </c>
      <c r="M175" t="str">
        <f t="shared" si="12"/>
        <v>not selected</v>
      </c>
      <c r="N175" t="str">
        <f t="shared" si="13"/>
        <v>selected</v>
      </c>
      <c r="O175">
        <v>41.436464088397791</v>
      </c>
      <c r="P175">
        <v>33.443836177667201</v>
      </c>
      <c r="Q175">
        <v>360</v>
      </c>
      <c r="R175">
        <v>0</v>
      </c>
      <c r="S175">
        <v>4.7919417271504905</v>
      </c>
      <c r="T175" t="str">
        <f t="shared" si="14"/>
        <v>Less than 80%</v>
      </c>
      <c r="U175">
        <v>41.436464088397791</v>
      </c>
      <c r="V175">
        <v>33.443836177667201</v>
      </c>
      <c r="W175">
        <v>0</v>
      </c>
    </row>
    <row r="176" spans="1:32">
      <c r="A176">
        <v>169</v>
      </c>
      <c r="B176">
        <v>26</v>
      </c>
      <c r="C176">
        <v>5.68</v>
      </c>
      <c r="D176">
        <v>80600</v>
      </c>
      <c r="E176">
        <v>77000</v>
      </c>
      <c r="F176">
        <v>0</v>
      </c>
      <c r="G176" t="s">
        <v>15</v>
      </c>
      <c r="H176">
        <v>235000</v>
      </c>
      <c r="I176">
        <v>135000</v>
      </c>
      <c r="J176">
        <v>180</v>
      </c>
      <c r="K176" t="str">
        <f t="shared" si="10"/>
        <v>0-10</v>
      </c>
      <c r="L176" s="13">
        <f t="shared" si="11"/>
        <v>57.446808510638306</v>
      </c>
      <c r="M176" t="str">
        <f t="shared" si="12"/>
        <v>selected</v>
      </c>
      <c r="N176" t="str">
        <f t="shared" si="13"/>
        <v>not selected</v>
      </c>
      <c r="O176">
        <v>57.446808510638306</v>
      </c>
      <c r="P176">
        <v>17</v>
      </c>
      <c r="Q176">
        <v>180</v>
      </c>
      <c r="R176">
        <v>0</v>
      </c>
      <c r="S176">
        <v>4.9974859183679046</v>
      </c>
      <c r="T176" t="str">
        <f t="shared" si="14"/>
        <v>Less than 80%</v>
      </c>
      <c r="U176">
        <v>57.446808510638306</v>
      </c>
      <c r="V176">
        <v>17</v>
      </c>
      <c r="W176">
        <v>0</v>
      </c>
    </row>
    <row r="177" spans="1:23">
      <c r="A177">
        <v>170</v>
      </c>
      <c r="B177">
        <v>6</v>
      </c>
      <c r="C177">
        <v>60.7</v>
      </c>
      <c r="D177">
        <v>69300</v>
      </c>
      <c r="E177">
        <v>71000</v>
      </c>
      <c r="F177">
        <v>0</v>
      </c>
      <c r="G177" t="s">
        <v>15</v>
      </c>
      <c r="H177">
        <v>255000</v>
      </c>
      <c r="I177">
        <v>145000</v>
      </c>
      <c r="J177">
        <v>180</v>
      </c>
      <c r="K177" t="str">
        <f t="shared" si="10"/>
        <v>More than 50</v>
      </c>
      <c r="L177" s="13">
        <f t="shared" si="11"/>
        <v>56.862745098039213</v>
      </c>
      <c r="M177" t="str">
        <f t="shared" si="12"/>
        <v>selected</v>
      </c>
      <c r="N177" t="str">
        <f t="shared" si="13"/>
        <v>not selected</v>
      </c>
      <c r="O177">
        <v>56.862745098039213</v>
      </c>
      <c r="P177">
        <v>22</v>
      </c>
      <c r="Q177">
        <v>180</v>
      </c>
      <c r="R177">
        <v>0</v>
      </c>
      <c r="S177">
        <v>4.2775612048482206</v>
      </c>
      <c r="T177" t="str">
        <f t="shared" si="14"/>
        <v>Less than 80%</v>
      </c>
      <c r="U177">
        <v>56.862745098039213</v>
      </c>
      <c r="V177">
        <v>22</v>
      </c>
      <c r="W177">
        <v>0</v>
      </c>
    </row>
    <row r="178" spans="1:23">
      <c r="A178">
        <v>171</v>
      </c>
      <c r="B178">
        <v>36</v>
      </c>
      <c r="C178">
        <v>45.13</v>
      </c>
      <c r="D178">
        <v>96500</v>
      </c>
      <c r="E178">
        <v>108000</v>
      </c>
      <c r="F178">
        <v>0</v>
      </c>
      <c r="G178" t="s">
        <v>15</v>
      </c>
      <c r="H178">
        <v>415000</v>
      </c>
      <c r="I178">
        <v>395000</v>
      </c>
      <c r="J178">
        <v>360</v>
      </c>
      <c r="K178" t="str">
        <f t="shared" si="10"/>
        <v>40-50</v>
      </c>
      <c r="L178" s="13">
        <f t="shared" si="11"/>
        <v>95.180722891566262</v>
      </c>
      <c r="M178" t="str">
        <f t="shared" si="12"/>
        <v>not selected</v>
      </c>
      <c r="N178" t="str">
        <f t="shared" si="13"/>
        <v>not selected</v>
      </c>
      <c r="O178">
        <v>95.180722891566262</v>
      </c>
      <c r="P178">
        <v>13</v>
      </c>
      <c r="Q178">
        <v>360</v>
      </c>
      <c r="R178">
        <v>0</v>
      </c>
      <c r="S178">
        <v>3.6092707413672853</v>
      </c>
      <c r="T178" t="str">
        <f t="shared" si="14"/>
        <v>More than 80%</v>
      </c>
      <c r="U178">
        <v>95.180722891566262</v>
      </c>
      <c r="V178">
        <v>13</v>
      </c>
      <c r="W178">
        <v>0</v>
      </c>
    </row>
    <row r="179" spans="1:23">
      <c r="A179">
        <v>172</v>
      </c>
      <c r="B179">
        <v>31</v>
      </c>
      <c r="C179">
        <v>11.31</v>
      </c>
      <c r="D179">
        <v>86900</v>
      </c>
      <c r="E179">
        <v>233000</v>
      </c>
      <c r="F179">
        <v>0</v>
      </c>
      <c r="G179" t="s">
        <v>15</v>
      </c>
      <c r="H179">
        <v>335000</v>
      </c>
      <c r="I179">
        <v>265000</v>
      </c>
      <c r="J179">
        <v>360</v>
      </c>
      <c r="K179" t="str">
        <f t="shared" si="10"/>
        <v>10-20</v>
      </c>
      <c r="L179" s="13">
        <f t="shared" si="11"/>
        <v>79.104477611940297</v>
      </c>
      <c r="M179" t="str">
        <f t="shared" si="12"/>
        <v>not selected</v>
      </c>
      <c r="N179" t="str">
        <f t="shared" si="13"/>
        <v>selected</v>
      </c>
      <c r="O179">
        <v>79.104477611940297</v>
      </c>
      <c r="P179">
        <v>53</v>
      </c>
      <c r="Q179">
        <v>360</v>
      </c>
      <c r="R179">
        <v>0</v>
      </c>
      <c r="S179">
        <v>5.3823150266314173</v>
      </c>
      <c r="T179" t="str">
        <f t="shared" si="14"/>
        <v>Less than 80%</v>
      </c>
      <c r="U179">
        <v>79.104477611940297</v>
      </c>
      <c r="V179">
        <v>53</v>
      </c>
      <c r="W179">
        <v>0</v>
      </c>
    </row>
    <row r="180" spans="1:23">
      <c r="A180">
        <v>173</v>
      </c>
      <c r="B180">
        <v>17</v>
      </c>
      <c r="C180">
        <v>19.309999999999999</v>
      </c>
      <c r="D180">
        <v>89100</v>
      </c>
      <c r="E180">
        <v>176000</v>
      </c>
      <c r="F180">
        <v>1</v>
      </c>
      <c r="G180" t="s">
        <v>15</v>
      </c>
      <c r="H180">
        <v>375000</v>
      </c>
      <c r="I180">
        <v>355000</v>
      </c>
      <c r="J180">
        <v>360</v>
      </c>
      <c r="K180" t="str">
        <f t="shared" si="10"/>
        <v>10-20</v>
      </c>
      <c r="L180" s="13">
        <f t="shared" si="11"/>
        <v>94.666666666666671</v>
      </c>
      <c r="M180" t="str">
        <f t="shared" si="12"/>
        <v>not selected</v>
      </c>
      <c r="N180" t="str">
        <f t="shared" si="13"/>
        <v>not selected</v>
      </c>
      <c r="O180">
        <v>94.666666666666671</v>
      </c>
      <c r="P180">
        <v>14</v>
      </c>
      <c r="Q180">
        <v>360</v>
      </c>
      <c r="R180">
        <v>1</v>
      </c>
      <c r="S180">
        <v>4.1861390912266963</v>
      </c>
      <c r="T180" t="str">
        <f t="shared" si="14"/>
        <v>More than 80%</v>
      </c>
      <c r="U180">
        <v>94.666666666666671</v>
      </c>
      <c r="V180">
        <v>14</v>
      </c>
      <c r="W180">
        <v>1</v>
      </c>
    </row>
    <row r="181" spans="1:23">
      <c r="A181">
        <v>174</v>
      </c>
      <c r="B181">
        <v>48</v>
      </c>
      <c r="C181">
        <v>77.16</v>
      </c>
      <c r="D181">
        <v>84800</v>
      </c>
      <c r="E181">
        <v>120000</v>
      </c>
      <c r="F181">
        <v>0</v>
      </c>
      <c r="G181" t="s">
        <v>15</v>
      </c>
      <c r="H181">
        <v>225000</v>
      </c>
      <c r="I181">
        <v>165000</v>
      </c>
      <c r="J181">
        <v>180</v>
      </c>
      <c r="K181" t="str">
        <f t="shared" si="10"/>
        <v>More than 50</v>
      </c>
      <c r="L181" s="13">
        <f t="shared" si="11"/>
        <v>73.333333333333329</v>
      </c>
      <c r="M181" t="str">
        <f t="shared" si="12"/>
        <v>selected</v>
      </c>
      <c r="N181" t="str">
        <f t="shared" si="13"/>
        <v>not selected</v>
      </c>
      <c r="O181">
        <v>73.333333333333329</v>
      </c>
      <c r="P181">
        <v>10</v>
      </c>
      <c r="Q181">
        <v>180</v>
      </c>
      <c r="R181">
        <v>0</v>
      </c>
      <c r="S181">
        <v>3.5923312877511044</v>
      </c>
      <c r="T181" t="str">
        <f t="shared" si="14"/>
        <v>Less than 80%</v>
      </c>
      <c r="U181">
        <v>73.333333333333329</v>
      </c>
      <c r="V181">
        <v>10</v>
      </c>
      <c r="W181">
        <v>0</v>
      </c>
    </row>
    <row r="182" spans="1:23">
      <c r="A182">
        <v>175</v>
      </c>
      <c r="B182">
        <v>48</v>
      </c>
      <c r="C182">
        <v>15.97</v>
      </c>
      <c r="D182">
        <v>97600</v>
      </c>
      <c r="E182">
        <v>200000</v>
      </c>
      <c r="F182">
        <v>0</v>
      </c>
      <c r="G182" t="s">
        <v>15</v>
      </c>
      <c r="H182">
        <v>565000</v>
      </c>
      <c r="I182">
        <v>445000</v>
      </c>
      <c r="J182">
        <v>360</v>
      </c>
      <c r="K182" t="str">
        <f t="shared" si="10"/>
        <v>10-20</v>
      </c>
      <c r="L182" s="13">
        <f t="shared" si="11"/>
        <v>78.761061946902657</v>
      </c>
      <c r="M182" t="str">
        <f t="shared" si="12"/>
        <v>not selected</v>
      </c>
      <c r="N182" t="str">
        <f t="shared" si="13"/>
        <v>not selected</v>
      </c>
      <c r="O182">
        <v>78.761061946902657</v>
      </c>
      <c r="P182">
        <v>16</v>
      </c>
      <c r="Q182">
        <v>360</v>
      </c>
      <c r="R182">
        <v>0</v>
      </c>
      <c r="S182">
        <v>5.2918416482637465</v>
      </c>
      <c r="T182" t="str">
        <f t="shared" si="14"/>
        <v>Less than 80%</v>
      </c>
      <c r="U182">
        <v>78.761061946902657</v>
      </c>
      <c r="V182">
        <v>16</v>
      </c>
      <c r="W182">
        <v>0</v>
      </c>
    </row>
    <row r="183" spans="1:23">
      <c r="A183">
        <v>176</v>
      </c>
      <c r="B183">
        <v>8</v>
      </c>
      <c r="C183">
        <v>9.74</v>
      </c>
      <c r="D183">
        <v>84300</v>
      </c>
      <c r="E183">
        <v>115000</v>
      </c>
      <c r="F183">
        <v>1</v>
      </c>
      <c r="G183" t="s">
        <v>15</v>
      </c>
      <c r="H183">
        <v>485000</v>
      </c>
      <c r="I183">
        <v>335000</v>
      </c>
      <c r="J183">
        <v>360</v>
      </c>
      <c r="K183" t="str">
        <f t="shared" si="10"/>
        <v>0-10</v>
      </c>
      <c r="L183" s="13">
        <f t="shared" si="11"/>
        <v>69.072164948453604</v>
      </c>
      <c r="M183" t="str">
        <f t="shared" si="12"/>
        <v>not selected</v>
      </c>
      <c r="N183" t="str">
        <f t="shared" si="13"/>
        <v>not selected</v>
      </c>
      <c r="O183">
        <v>69.072164948453604</v>
      </c>
      <c r="P183">
        <v>33</v>
      </c>
      <c r="Q183">
        <v>360</v>
      </c>
      <c r="R183">
        <v>1</v>
      </c>
      <c r="S183">
        <v>5.7823081974832284</v>
      </c>
      <c r="T183" t="str">
        <f t="shared" si="14"/>
        <v>Less than 80%</v>
      </c>
      <c r="U183">
        <v>69.072164948453604</v>
      </c>
      <c r="V183">
        <v>33</v>
      </c>
      <c r="W183">
        <v>1</v>
      </c>
    </row>
    <row r="184" spans="1:23">
      <c r="A184">
        <v>177</v>
      </c>
      <c r="B184">
        <v>6</v>
      </c>
      <c r="C184">
        <v>12.91</v>
      </c>
      <c r="D184">
        <v>71600</v>
      </c>
      <c r="E184">
        <v>179000</v>
      </c>
      <c r="F184">
        <v>0</v>
      </c>
      <c r="G184" t="s">
        <v>15</v>
      </c>
      <c r="H184">
        <v>315000</v>
      </c>
      <c r="I184">
        <v>235000</v>
      </c>
      <c r="J184">
        <v>360</v>
      </c>
      <c r="K184" t="str">
        <f t="shared" si="10"/>
        <v>10-20</v>
      </c>
      <c r="L184" s="13">
        <f t="shared" si="11"/>
        <v>74.603174603174608</v>
      </c>
      <c r="M184" t="str">
        <f t="shared" si="12"/>
        <v>not selected</v>
      </c>
      <c r="N184" t="str">
        <f t="shared" si="13"/>
        <v>not selected</v>
      </c>
      <c r="O184">
        <v>74.603174603174608</v>
      </c>
      <c r="P184">
        <v>33.443836177667201</v>
      </c>
      <c r="Q184">
        <v>360</v>
      </c>
      <c r="R184">
        <v>0</v>
      </c>
      <c r="S184">
        <v>4.3715514316165427</v>
      </c>
      <c r="T184" t="str">
        <f t="shared" si="14"/>
        <v>Less than 80%</v>
      </c>
      <c r="U184">
        <v>74.603174603174608</v>
      </c>
      <c r="V184">
        <v>33.443836177667201</v>
      </c>
      <c r="W184">
        <v>0</v>
      </c>
    </row>
    <row r="185" spans="1:23">
      <c r="A185">
        <v>178</v>
      </c>
      <c r="B185">
        <v>46</v>
      </c>
      <c r="C185">
        <v>3.56</v>
      </c>
      <c r="D185">
        <v>86200</v>
      </c>
      <c r="E185">
        <v>132000</v>
      </c>
      <c r="F185">
        <v>0</v>
      </c>
      <c r="G185" t="s">
        <v>15</v>
      </c>
      <c r="H185">
        <v>775000</v>
      </c>
      <c r="I185">
        <v>515000</v>
      </c>
      <c r="J185">
        <v>360</v>
      </c>
      <c r="K185" t="str">
        <f t="shared" si="10"/>
        <v>0-10</v>
      </c>
      <c r="L185" s="13">
        <f t="shared" si="11"/>
        <v>66.451612903225808</v>
      </c>
      <c r="M185" t="str">
        <f t="shared" si="12"/>
        <v>not selected</v>
      </c>
      <c r="N185" t="str">
        <f t="shared" si="13"/>
        <v>not selected</v>
      </c>
      <c r="O185">
        <v>66.451612903225808</v>
      </c>
      <c r="P185">
        <v>16</v>
      </c>
      <c r="Q185">
        <v>360</v>
      </c>
      <c r="R185">
        <v>0</v>
      </c>
      <c r="S185">
        <v>3.9467946174997341</v>
      </c>
      <c r="T185" t="str">
        <f t="shared" si="14"/>
        <v>Less than 80%</v>
      </c>
      <c r="U185">
        <v>66.451612903225808</v>
      </c>
      <c r="V185">
        <v>16</v>
      </c>
      <c r="W185">
        <v>0</v>
      </c>
    </row>
    <row r="186" spans="1:23">
      <c r="A186">
        <v>179</v>
      </c>
      <c r="B186">
        <v>9</v>
      </c>
      <c r="C186">
        <v>7.24</v>
      </c>
      <c r="D186">
        <v>91800</v>
      </c>
      <c r="E186">
        <v>320000</v>
      </c>
      <c r="F186">
        <v>0</v>
      </c>
      <c r="G186" t="s">
        <v>15</v>
      </c>
      <c r="H186">
        <v>625000</v>
      </c>
      <c r="I186">
        <v>355000</v>
      </c>
      <c r="J186">
        <v>360</v>
      </c>
      <c r="K186" t="str">
        <f t="shared" si="10"/>
        <v>0-10</v>
      </c>
      <c r="L186" s="13">
        <f t="shared" si="11"/>
        <v>56.8</v>
      </c>
      <c r="M186" t="str">
        <f t="shared" si="12"/>
        <v>not selected</v>
      </c>
      <c r="N186" t="str">
        <f t="shared" si="13"/>
        <v>selected</v>
      </c>
      <c r="O186">
        <v>56.8</v>
      </c>
      <c r="P186">
        <v>19</v>
      </c>
      <c r="Q186">
        <v>360</v>
      </c>
      <c r="R186">
        <v>0</v>
      </c>
      <c r="S186">
        <v>3.8757619546094579</v>
      </c>
      <c r="T186" t="str">
        <f t="shared" si="14"/>
        <v>Less than 80%</v>
      </c>
      <c r="U186">
        <v>56.8</v>
      </c>
      <c r="V186">
        <v>19</v>
      </c>
      <c r="W186">
        <v>0</v>
      </c>
    </row>
    <row r="187" spans="1:23">
      <c r="A187">
        <v>180</v>
      </c>
      <c r="B187">
        <v>36</v>
      </c>
      <c r="C187">
        <v>7.6</v>
      </c>
      <c r="D187">
        <v>76200</v>
      </c>
      <c r="E187">
        <v>143000</v>
      </c>
      <c r="F187">
        <v>0</v>
      </c>
      <c r="G187" t="s">
        <v>15</v>
      </c>
      <c r="H187">
        <v>395000</v>
      </c>
      <c r="I187">
        <v>265000</v>
      </c>
      <c r="J187">
        <v>360</v>
      </c>
      <c r="K187" t="str">
        <f t="shared" si="10"/>
        <v>0-10</v>
      </c>
      <c r="L187" s="13">
        <f t="shared" si="11"/>
        <v>67.088607594936718</v>
      </c>
      <c r="M187" t="str">
        <f t="shared" si="12"/>
        <v>not selected</v>
      </c>
      <c r="N187" t="str">
        <f t="shared" si="13"/>
        <v>not selected</v>
      </c>
      <c r="O187">
        <v>67.088607594936718</v>
      </c>
      <c r="P187">
        <v>33.443836177667201</v>
      </c>
      <c r="Q187">
        <v>360</v>
      </c>
      <c r="R187">
        <v>0</v>
      </c>
      <c r="S187">
        <v>4.3981253217123832</v>
      </c>
      <c r="T187" t="str">
        <f t="shared" si="14"/>
        <v>Less than 80%</v>
      </c>
      <c r="U187">
        <v>67.088607594936718</v>
      </c>
      <c r="V187">
        <v>33.443836177667201</v>
      </c>
      <c r="W187">
        <v>0</v>
      </c>
    </row>
    <row r="188" spans="1:23">
      <c r="A188">
        <v>181</v>
      </c>
      <c r="B188">
        <v>4</v>
      </c>
      <c r="C188">
        <v>9.2200000000000006</v>
      </c>
      <c r="D188">
        <v>77800</v>
      </c>
      <c r="E188">
        <v>73000</v>
      </c>
      <c r="F188">
        <v>0</v>
      </c>
      <c r="G188" t="s">
        <v>15</v>
      </c>
      <c r="H188">
        <v>705000</v>
      </c>
      <c r="I188">
        <v>345000</v>
      </c>
      <c r="J188">
        <v>240</v>
      </c>
      <c r="K188" t="str">
        <f t="shared" si="10"/>
        <v>0-10</v>
      </c>
      <c r="L188" s="13">
        <f t="shared" si="11"/>
        <v>48.936170212765958</v>
      </c>
      <c r="M188" t="str">
        <f t="shared" si="12"/>
        <v>not selected</v>
      </c>
      <c r="N188" t="str">
        <f t="shared" si="13"/>
        <v>not selected</v>
      </c>
      <c r="O188">
        <v>48.936170212765958</v>
      </c>
      <c r="P188">
        <v>22</v>
      </c>
      <c r="Q188">
        <v>240</v>
      </c>
      <c r="R188">
        <v>0</v>
      </c>
      <c r="S188">
        <v>4.2814192256005388</v>
      </c>
      <c r="T188" t="str">
        <f t="shared" si="14"/>
        <v>Less than 80%</v>
      </c>
      <c r="U188">
        <v>48.936170212765958</v>
      </c>
      <c r="V188">
        <v>22</v>
      </c>
      <c r="W188">
        <v>0</v>
      </c>
    </row>
    <row r="189" spans="1:23">
      <c r="A189">
        <v>182</v>
      </c>
      <c r="B189">
        <v>53</v>
      </c>
      <c r="C189">
        <v>33.07</v>
      </c>
      <c r="D189">
        <v>106900</v>
      </c>
      <c r="E189">
        <v>125000</v>
      </c>
      <c r="F189">
        <v>0</v>
      </c>
      <c r="G189" t="s">
        <v>15</v>
      </c>
      <c r="H189">
        <v>765000</v>
      </c>
      <c r="I189">
        <v>265000</v>
      </c>
      <c r="J189">
        <v>180</v>
      </c>
      <c r="K189" t="str">
        <f t="shared" si="10"/>
        <v>30-40</v>
      </c>
      <c r="L189" s="13">
        <f t="shared" si="11"/>
        <v>34.640522875816991</v>
      </c>
      <c r="M189" t="str">
        <f t="shared" si="12"/>
        <v>selected</v>
      </c>
      <c r="N189" t="str">
        <f t="shared" si="13"/>
        <v>not selected</v>
      </c>
      <c r="O189">
        <v>34.640522875816991</v>
      </c>
      <c r="P189">
        <v>30</v>
      </c>
      <c r="Q189">
        <v>180</v>
      </c>
      <c r="R189">
        <v>0</v>
      </c>
      <c r="S189">
        <v>4.9571085322632271</v>
      </c>
      <c r="T189" t="str">
        <f t="shared" si="14"/>
        <v>Less than 80%</v>
      </c>
      <c r="U189">
        <v>34.640522875816991</v>
      </c>
      <c r="V189">
        <v>30</v>
      </c>
      <c r="W189">
        <v>0</v>
      </c>
    </row>
    <row r="190" spans="1:23">
      <c r="A190">
        <v>183</v>
      </c>
      <c r="B190">
        <v>4</v>
      </c>
      <c r="C190">
        <v>14.27</v>
      </c>
      <c r="D190">
        <v>77800</v>
      </c>
      <c r="E190">
        <v>47000</v>
      </c>
      <c r="F190">
        <v>0</v>
      </c>
      <c r="G190" t="s">
        <v>15</v>
      </c>
      <c r="H190">
        <v>285000</v>
      </c>
      <c r="I190">
        <v>155000</v>
      </c>
      <c r="J190">
        <v>240</v>
      </c>
      <c r="K190" t="str">
        <f t="shared" si="10"/>
        <v>10-20</v>
      </c>
      <c r="L190" s="13">
        <f t="shared" si="11"/>
        <v>54.385964912280706</v>
      </c>
      <c r="M190" t="str">
        <f t="shared" si="12"/>
        <v>not selected</v>
      </c>
      <c r="N190" t="str">
        <f t="shared" si="13"/>
        <v>not selected</v>
      </c>
      <c r="O190">
        <v>54.385964912280706</v>
      </c>
      <c r="P190">
        <v>12</v>
      </c>
      <c r="Q190">
        <v>240</v>
      </c>
      <c r="R190">
        <v>0</v>
      </c>
      <c r="S190">
        <v>4.6134635701139519</v>
      </c>
      <c r="T190" t="str">
        <f t="shared" si="14"/>
        <v>Less than 80%</v>
      </c>
      <c r="U190">
        <v>54.385964912280706</v>
      </c>
      <c r="V190">
        <v>12</v>
      </c>
      <c r="W190">
        <v>0</v>
      </c>
    </row>
    <row r="191" spans="1:23">
      <c r="A191">
        <v>184</v>
      </c>
      <c r="B191">
        <v>6</v>
      </c>
      <c r="C191">
        <v>13.02</v>
      </c>
      <c r="D191">
        <v>71600</v>
      </c>
      <c r="E191">
        <v>83000</v>
      </c>
      <c r="F191">
        <v>0</v>
      </c>
      <c r="G191" t="s">
        <v>15</v>
      </c>
      <c r="H191">
        <v>265000</v>
      </c>
      <c r="I191">
        <v>185000</v>
      </c>
      <c r="J191">
        <v>360</v>
      </c>
      <c r="K191" t="str">
        <f t="shared" si="10"/>
        <v>10-20</v>
      </c>
      <c r="L191" s="13">
        <f t="shared" si="11"/>
        <v>69.811320754716974</v>
      </c>
      <c r="M191" t="str">
        <f t="shared" si="12"/>
        <v>not selected</v>
      </c>
      <c r="N191" t="str">
        <f t="shared" si="13"/>
        <v>not selected</v>
      </c>
      <c r="O191">
        <v>69.811320754716974</v>
      </c>
      <c r="P191">
        <v>16</v>
      </c>
      <c r="Q191">
        <v>360</v>
      </c>
      <c r="R191">
        <v>0</v>
      </c>
      <c r="S191">
        <v>3.5834800311582113</v>
      </c>
      <c r="T191" t="str">
        <f t="shared" si="14"/>
        <v>Less than 80%</v>
      </c>
      <c r="U191">
        <v>69.811320754716974</v>
      </c>
      <c r="V191">
        <v>16</v>
      </c>
      <c r="W191">
        <v>0</v>
      </c>
    </row>
    <row r="192" spans="1:23">
      <c r="A192">
        <v>185</v>
      </c>
      <c r="B192">
        <v>50</v>
      </c>
      <c r="C192">
        <v>3.38</v>
      </c>
      <c r="D192">
        <v>89700</v>
      </c>
      <c r="E192">
        <v>106000</v>
      </c>
      <c r="F192">
        <v>0</v>
      </c>
      <c r="G192" t="s">
        <v>15</v>
      </c>
      <c r="H192">
        <v>325000</v>
      </c>
      <c r="I192">
        <v>245000</v>
      </c>
      <c r="J192">
        <v>360</v>
      </c>
      <c r="K192" t="str">
        <f t="shared" si="10"/>
        <v>0-10</v>
      </c>
      <c r="L192" s="13">
        <f t="shared" si="11"/>
        <v>75.384615384615387</v>
      </c>
      <c r="M192" t="str">
        <f t="shared" si="12"/>
        <v>not selected</v>
      </c>
      <c r="N192" t="str">
        <f t="shared" si="13"/>
        <v>not selected</v>
      </c>
      <c r="O192">
        <v>75.384615384615387</v>
      </c>
      <c r="P192">
        <v>38</v>
      </c>
      <c r="Q192">
        <v>360</v>
      </c>
      <c r="R192">
        <v>0</v>
      </c>
      <c r="S192">
        <v>5.7670896097907409</v>
      </c>
      <c r="T192" t="str">
        <f t="shared" si="14"/>
        <v>Less than 80%</v>
      </c>
      <c r="U192">
        <v>75.384615384615387</v>
      </c>
      <c r="V192">
        <v>38</v>
      </c>
      <c r="W192">
        <v>0</v>
      </c>
    </row>
    <row r="193" spans="1:23">
      <c r="A193">
        <v>186</v>
      </c>
      <c r="B193">
        <v>37</v>
      </c>
      <c r="C193">
        <v>6.32</v>
      </c>
      <c r="D193">
        <v>94100</v>
      </c>
      <c r="E193">
        <v>138000</v>
      </c>
      <c r="F193">
        <v>0</v>
      </c>
      <c r="G193" t="s">
        <v>15</v>
      </c>
      <c r="H193">
        <v>605000</v>
      </c>
      <c r="I193">
        <v>285000</v>
      </c>
      <c r="J193">
        <v>360</v>
      </c>
      <c r="K193" t="str">
        <f t="shared" si="10"/>
        <v>0-10</v>
      </c>
      <c r="L193" s="13">
        <f t="shared" si="11"/>
        <v>47.107438016528924</v>
      </c>
      <c r="M193" t="str">
        <f t="shared" si="12"/>
        <v>not selected</v>
      </c>
      <c r="N193" t="str">
        <f t="shared" si="13"/>
        <v>not selected</v>
      </c>
      <c r="O193">
        <v>47.107438016528924</v>
      </c>
      <c r="P193">
        <v>40</v>
      </c>
      <c r="Q193">
        <v>360</v>
      </c>
      <c r="R193">
        <v>0</v>
      </c>
      <c r="S193">
        <v>4.8892297598864136</v>
      </c>
      <c r="T193" t="str">
        <f t="shared" si="14"/>
        <v>Less than 80%</v>
      </c>
      <c r="U193">
        <v>47.107438016528924</v>
      </c>
      <c r="V193">
        <v>40</v>
      </c>
      <c r="W193">
        <v>0</v>
      </c>
    </row>
    <row r="194" spans="1:23">
      <c r="A194">
        <v>187</v>
      </c>
      <c r="B194">
        <v>12</v>
      </c>
      <c r="C194">
        <v>8.48</v>
      </c>
      <c r="D194">
        <v>69200</v>
      </c>
      <c r="E194">
        <v>82000</v>
      </c>
      <c r="F194">
        <v>0</v>
      </c>
      <c r="G194" t="s">
        <v>15</v>
      </c>
      <c r="H194">
        <v>265000</v>
      </c>
      <c r="I194">
        <v>145000</v>
      </c>
      <c r="J194">
        <v>360</v>
      </c>
      <c r="K194" t="str">
        <f t="shared" si="10"/>
        <v>0-10</v>
      </c>
      <c r="L194" s="13">
        <f t="shared" si="11"/>
        <v>54.716981132075468</v>
      </c>
      <c r="M194" t="str">
        <f t="shared" si="12"/>
        <v>not selected</v>
      </c>
      <c r="N194" t="str">
        <f t="shared" si="13"/>
        <v>not selected</v>
      </c>
      <c r="O194">
        <v>54.716981132075468</v>
      </c>
      <c r="P194">
        <v>33.443836177667201</v>
      </c>
      <c r="Q194">
        <v>360</v>
      </c>
      <c r="R194">
        <v>0</v>
      </c>
      <c r="S194">
        <v>4.3658133044588414</v>
      </c>
      <c r="T194" t="str">
        <f t="shared" si="14"/>
        <v>Less than 80%</v>
      </c>
      <c r="U194">
        <v>54.716981132075468</v>
      </c>
      <c r="V194">
        <v>33.443836177667201</v>
      </c>
      <c r="W194">
        <v>0</v>
      </c>
    </row>
    <row r="195" spans="1:23">
      <c r="A195">
        <v>188</v>
      </c>
      <c r="B195">
        <v>31</v>
      </c>
      <c r="C195">
        <v>10.23</v>
      </c>
      <c r="D195">
        <v>82700</v>
      </c>
      <c r="E195">
        <v>148000</v>
      </c>
      <c r="F195">
        <v>0</v>
      </c>
      <c r="G195" t="s">
        <v>15</v>
      </c>
      <c r="H195">
        <v>305000</v>
      </c>
      <c r="I195">
        <v>285000</v>
      </c>
      <c r="J195">
        <v>360</v>
      </c>
      <c r="K195" t="str">
        <f t="shared" si="10"/>
        <v>10-20</v>
      </c>
      <c r="L195" s="13">
        <f t="shared" si="11"/>
        <v>93.442622950819683</v>
      </c>
      <c r="M195" t="str">
        <f t="shared" si="12"/>
        <v>not selected</v>
      </c>
      <c r="N195" t="str">
        <f t="shared" si="13"/>
        <v>not selected</v>
      </c>
      <c r="O195">
        <v>93.442622950819683</v>
      </c>
      <c r="P195">
        <v>34</v>
      </c>
      <c r="Q195">
        <v>360</v>
      </c>
      <c r="R195">
        <v>0</v>
      </c>
      <c r="S195">
        <v>4.9105650369306391</v>
      </c>
      <c r="T195" t="str">
        <f t="shared" si="14"/>
        <v>More than 80%</v>
      </c>
      <c r="U195">
        <v>93.442622950819683</v>
      </c>
      <c r="V195">
        <v>34</v>
      </c>
      <c r="W195">
        <v>0</v>
      </c>
    </row>
    <row r="196" spans="1:23">
      <c r="A196">
        <v>189</v>
      </c>
      <c r="B196">
        <v>41</v>
      </c>
      <c r="C196">
        <v>13.56</v>
      </c>
      <c r="D196">
        <v>92100</v>
      </c>
      <c r="E196">
        <v>115000</v>
      </c>
      <c r="F196">
        <v>0</v>
      </c>
      <c r="G196" t="s">
        <v>15</v>
      </c>
      <c r="H196">
        <v>555000</v>
      </c>
      <c r="I196">
        <v>295000</v>
      </c>
      <c r="J196">
        <v>360</v>
      </c>
      <c r="K196" t="str">
        <f t="shared" si="10"/>
        <v>10-20</v>
      </c>
      <c r="L196" s="13">
        <f t="shared" si="11"/>
        <v>53.153153153153156</v>
      </c>
      <c r="M196" t="str">
        <f t="shared" si="12"/>
        <v>not selected</v>
      </c>
      <c r="N196" t="str">
        <f t="shared" si="13"/>
        <v>not selected</v>
      </c>
      <c r="O196">
        <v>53.153153153153156</v>
      </c>
      <c r="P196">
        <v>30</v>
      </c>
      <c r="Q196">
        <v>360</v>
      </c>
      <c r="R196">
        <v>0</v>
      </c>
      <c r="S196">
        <v>4.3969331866079076</v>
      </c>
      <c r="T196" t="str">
        <f t="shared" si="14"/>
        <v>Less than 80%</v>
      </c>
      <c r="U196">
        <v>53.153153153153156</v>
      </c>
      <c r="V196">
        <v>30</v>
      </c>
      <c r="W196">
        <v>0</v>
      </c>
    </row>
    <row r="197" spans="1:23">
      <c r="A197">
        <v>190</v>
      </c>
      <c r="B197">
        <v>22</v>
      </c>
      <c r="C197">
        <v>18.88</v>
      </c>
      <c r="D197">
        <v>54100</v>
      </c>
      <c r="E197">
        <v>117000</v>
      </c>
      <c r="F197">
        <v>0</v>
      </c>
      <c r="G197" t="s">
        <v>15</v>
      </c>
      <c r="H197">
        <v>265000</v>
      </c>
      <c r="I197">
        <v>215000</v>
      </c>
      <c r="J197">
        <v>360</v>
      </c>
      <c r="K197" t="str">
        <f t="shared" si="10"/>
        <v>10-20</v>
      </c>
      <c r="L197" s="13">
        <f t="shared" si="11"/>
        <v>81.132075471698116</v>
      </c>
      <c r="M197" t="str">
        <f t="shared" si="12"/>
        <v>not selected</v>
      </c>
      <c r="N197" t="str">
        <f t="shared" si="13"/>
        <v>not selected</v>
      </c>
      <c r="O197">
        <v>81.132075471698116</v>
      </c>
      <c r="P197">
        <v>25</v>
      </c>
      <c r="Q197">
        <v>360</v>
      </c>
      <c r="R197">
        <v>0</v>
      </c>
      <c r="S197">
        <v>4.736749261464599</v>
      </c>
      <c r="T197" t="str">
        <f t="shared" si="14"/>
        <v>More than 80%</v>
      </c>
      <c r="U197">
        <v>81.132075471698116</v>
      </c>
      <c r="V197">
        <v>25</v>
      </c>
      <c r="W197">
        <v>0</v>
      </c>
    </row>
    <row r="198" spans="1:23">
      <c r="A198">
        <v>191</v>
      </c>
      <c r="B198">
        <v>27</v>
      </c>
      <c r="C198">
        <v>4.12</v>
      </c>
      <c r="D198">
        <v>102800</v>
      </c>
      <c r="E198">
        <v>94000</v>
      </c>
      <c r="F198">
        <v>1</v>
      </c>
      <c r="G198" t="s">
        <v>15</v>
      </c>
      <c r="H198">
        <v>335000</v>
      </c>
      <c r="I198">
        <v>265000</v>
      </c>
      <c r="J198">
        <v>360</v>
      </c>
      <c r="K198" t="str">
        <f t="shared" si="10"/>
        <v>0-10</v>
      </c>
      <c r="L198" s="13">
        <f t="shared" si="11"/>
        <v>79.104477611940297</v>
      </c>
      <c r="M198" t="str">
        <f t="shared" si="12"/>
        <v>not selected</v>
      </c>
      <c r="N198" t="str">
        <f t="shared" si="13"/>
        <v>not selected</v>
      </c>
      <c r="O198">
        <v>79.104477611940297</v>
      </c>
      <c r="P198">
        <v>33.443836177667201</v>
      </c>
      <c r="Q198">
        <v>360</v>
      </c>
      <c r="R198">
        <v>1</v>
      </c>
      <c r="S198">
        <v>4.0023997040260175</v>
      </c>
      <c r="T198" t="str">
        <f t="shared" si="14"/>
        <v>Less than 80%</v>
      </c>
      <c r="U198">
        <v>79.104477611940297</v>
      </c>
      <c r="V198">
        <v>33.443836177667201</v>
      </c>
      <c r="W198">
        <v>1</v>
      </c>
    </row>
    <row r="199" spans="1:23">
      <c r="A199">
        <v>192</v>
      </c>
      <c r="B199">
        <v>30</v>
      </c>
      <c r="C199">
        <v>7.72</v>
      </c>
      <c r="D199">
        <v>84300</v>
      </c>
      <c r="E199">
        <v>60000</v>
      </c>
      <c r="F199">
        <v>0</v>
      </c>
      <c r="G199" t="s">
        <v>15</v>
      </c>
      <c r="H199">
        <v>275000</v>
      </c>
      <c r="I199">
        <v>125000</v>
      </c>
      <c r="J199">
        <v>360</v>
      </c>
      <c r="K199" t="str">
        <f t="shared" si="10"/>
        <v>0-10</v>
      </c>
      <c r="L199" s="13">
        <f t="shared" si="11"/>
        <v>45.454545454545453</v>
      </c>
      <c r="M199" t="str">
        <f t="shared" si="12"/>
        <v>not selected</v>
      </c>
      <c r="N199" t="str">
        <f t="shared" si="13"/>
        <v>not selected</v>
      </c>
      <c r="O199">
        <v>45.454545454545453</v>
      </c>
      <c r="P199">
        <v>13</v>
      </c>
      <c r="Q199">
        <v>360</v>
      </c>
      <c r="R199">
        <v>0</v>
      </c>
      <c r="S199">
        <v>4.0934953296219758</v>
      </c>
      <c r="T199" t="str">
        <f t="shared" si="14"/>
        <v>Less than 80%</v>
      </c>
      <c r="U199">
        <v>45.454545454545453</v>
      </c>
      <c r="V199">
        <v>13</v>
      </c>
      <c r="W199">
        <v>0</v>
      </c>
    </row>
    <row r="200" spans="1:23">
      <c r="A200">
        <v>193</v>
      </c>
      <c r="B200">
        <v>25</v>
      </c>
      <c r="C200">
        <v>6.93</v>
      </c>
      <c r="D200">
        <v>114000</v>
      </c>
      <c r="E200">
        <v>126000</v>
      </c>
      <c r="F200">
        <v>0</v>
      </c>
      <c r="G200" t="s">
        <v>15</v>
      </c>
      <c r="H200">
        <v>585000</v>
      </c>
      <c r="I200">
        <v>435000</v>
      </c>
      <c r="J200">
        <v>360</v>
      </c>
      <c r="K200" t="str">
        <f t="shared" ref="K200:K263" si="15">IF(C200&gt;=50,"More than 50",IF(C200&gt;=40,"40-50",IF(C200&gt;=30,"30-40",IF(C200&gt;=20,"20-30",IF(C200&gt;=10,"10-20","0-10")))))</f>
        <v>0-10</v>
      </c>
      <c r="L200" s="13">
        <f t="shared" ref="L200:L263" si="16">(I200/H200)*100</f>
        <v>74.358974358974365</v>
      </c>
      <c r="M200" t="str">
        <f t="shared" si="12"/>
        <v>not selected</v>
      </c>
      <c r="N200" t="str">
        <f t="shared" si="13"/>
        <v>not selected</v>
      </c>
      <c r="O200">
        <v>74.358974358974365</v>
      </c>
      <c r="P200">
        <v>16</v>
      </c>
      <c r="Q200">
        <v>360</v>
      </c>
      <c r="R200">
        <v>0</v>
      </c>
      <c r="S200">
        <v>4.7956962043907785</v>
      </c>
      <c r="T200" t="str">
        <f t="shared" si="14"/>
        <v>Less than 80%</v>
      </c>
      <c r="U200">
        <v>74.358974358974365</v>
      </c>
      <c r="V200">
        <v>16</v>
      </c>
      <c r="W200">
        <v>0</v>
      </c>
    </row>
    <row r="201" spans="1:23">
      <c r="A201">
        <v>194</v>
      </c>
      <c r="B201">
        <v>35</v>
      </c>
      <c r="C201">
        <v>35.97</v>
      </c>
      <c r="D201">
        <v>69100</v>
      </c>
      <c r="E201">
        <v>170000</v>
      </c>
      <c r="F201">
        <v>0</v>
      </c>
      <c r="G201" t="s">
        <v>15</v>
      </c>
      <c r="H201">
        <v>325000</v>
      </c>
      <c r="I201">
        <v>255000</v>
      </c>
      <c r="J201">
        <v>240</v>
      </c>
      <c r="K201" t="str">
        <f t="shared" si="15"/>
        <v>30-40</v>
      </c>
      <c r="L201" s="13">
        <f t="shared" si="16"/>
        <v>78.461538461538467</v>
      </c>
      <c r="M201" t="str">
        <f t="shared" ref="M201:M264" si="17">IF(AND(L201&lt;=80,J201&lt;=180),"selected","not selected")</f>
        <v>not selected</v>
      </c>
      <c r="N201" t="str">
        <f t="shared" ref="N201:N264" si="18">IF(AND(L201&lt;=80,E201&gt;=222400),"selected","not selected")</f>
        <v>not selected</v>
      </c>
      <c r="O201">
        <v>78.461538461538467</v>
      </c>
      <c r="P201">
        <v>32</v>
      </c>
      <c r="Q201">
        <v>240</v>
      </c>
      <c r="R201">
        <v>0</v>
      </c>
      <c r="S201">
        <v>4.8227410199523781</v>
      </c>
      <c r="T201" t="str">
        <f t="shared" ref="T201:T264" si="19">IF(L201&gt;=80,"More than 80%","Less than 80%")</f>
        <v>Less than 80%</v>
      </c>
      <c r="U201">
        <v>78.461538461538467</v>
      </c>
      <c r="V201">
        <v>32</v>
      </c>
      <c r="W201">
        <v>0</v>
      </c>
    </row>
    <row r="202" spans="1:23">
      <c r="A202">
        <v>195</v>
      </c>
      <c r="B202">
        <v>48</v>
      </c>
      <c r="C202">
        <v>16.34</v>
      </c>
      <c r="D202">
        <v>72200</v>
      </c>
      <c r="E202">
        <v>137000</v>
      </c>
      <c r="F202">
        <v>0</v>
      </c>
      <c r="G202" t="s">
        <v>15</v>
      </c>
      <c r="H202">
        <v>465000</v>
      </c>
      <c r="I202">
        <v>285000</v>
      </c>
      <c r="J202">
        <v>360</v>
      </c>
      <c r="K202" t="str">
        <f t="shared" si="15"/>
        <v>10-20</v>
      </c>
      <c r="L202" s="13">
        <f t="shared" si="16"/>
        <v>61.29032258064516</v>
      </c>
      <c r="M202" t="str">
        <f t="shared" si="17"/>
        <v>not selected</v>
      </c>
      <c r="N202" t="str">
        <f t="shared" si="18"/>
        <v>not selected</v>
      </c>
      <c r="O202">
        <v>61.29032258064516</v>
      </c>
      <c r="P202">
        <v>41</v>
      </c>
      <c r="Q202">
        <v>360</v>
      </c>
      <c r="R202">
        <v>0</v>
      </c>
      <c r="S202">
        <v>3.8924829493720425</v>
      </c>
      <c r="T202" t="str">
        <f t="shared" si="19"/>
        <v>Less than 80%</v>
      </c>
      <c r="U202">
        <v>61.29032258064516</v>
      </c>
      <c r="V202">
        <v>41</v>
      </c>
      <c r="W202">
        <v>0</v>
      </c>
    </row>
    <row r="203" spans="1:23">
      <c r="A203">
        <v>196</v>
      </c>
      <c r="B203">
        <v>5</v>
      </c>
      <c r="C203">
        <v>10.89</v>
      </c>
      <c r="D203">
        <v>72300</v>
      </c>
      <c r="E203">
        <v>41000</v>
      </c>
      <c r="F203">
        <v>0</v>
      </c>
      <c r="G203" t="s">
        <v>15</v>
      </c>
      <c r="H203">
        <v>155000</v>
      </c>
      <c r="I203">
        <v>115000</v>
      </c>
      <c r="J203">
        <v>360</v>
      </c>
      <c r="K203" t="str">
        <f t="shared" si="15"/>
        <v>10-20</v>
      </c>
      <c r="L203" s="13">
        <f t="shared" si="16"/>
        <v>74.193548387096769</v>
      </c>
      <c r="M203" t="str">
        <f t="shared" si="17"/>
        <v>not selected</v>
      </c>
      <c r="N203" t="str">
        <f t="shared" si="18"/>
        <v>not selected</v>
      </c>
      <c r="O203">
        <v>74.193548387096769</v>
      </c>
      <c r="P203">
        <v>33.443836177667201</v>
      </c>
      <c r="Q203">
        <v>360</v>
      </c>
      <c r="R203">
        <v>0</v>
      </c>
      <c r="S203">
        <v>5.0846585691356729</v>
      </c>
      <c r="T203" t="str">
        <f t="shared" si="19"/>
        <v>Less than 80%</v>
      </c>
      <c r="U203">
        <v>74.193548387096769</v>
      </c>
      <c r="V203">
        <v>33.443836177667201</v>
      </c>
      <c r="W203">
        <v>0</v>
      </c>
    </row>
    <row r="204" spans="1:23">
      <c r="A204">
        <v>197</v>
      </c>
      <c r="B204">
        <v>38</v>
      </c>
      <c r="C204">
        <v>7.92</v>
      </c>
      <c r="D204">
        <v>89200</v>
      </c>
      <c r="E204">
        <v>183000</v>
      </c>
      <c r="F204">
        <v>0</v>
      </c>
      <c r="G204" t="s">
        <v>15</v>
      </c>
      <c r="H204">
        <v>505000</v>
      </c>
      <c r="I204">
        <v>275000</v>
      </c>
      <c r="J204">
        <v>360</v>
      </c>
      <c r="K204" t="str">
        <f t="shared" si="15"/>
        <v>0-10</v>
      </c>
      <c r="L204" s="13">
        <f t="shared" si="16"/>
        <v>54.455445544554458</v>
      </c>
      <c r="M204" t="str">
        <f t="shared" si="17"/>
        <v>not selected</v>
      </c>
      <c r="N204" t="str">
        <f t="shared" si="18"/>
        <v>not selected</v>
      </c>
      <c r="O204">
        <v>54.455445544554458</v>
      </c>
      <c r="P204">
        <v>33.443836177667201</v>
      </c>
      <c r="Q204">
        <v>360</v>
      </c>
      <c r="R204">
        <v>0</v>
      </c>
      <c r="S204">
        <v>5.2028403417924611</v>
      </c>
      <c r="T204" t="str">
        <f t="shared" si="19"/>
        <v>Less than 80%</v>
      </c>
      <c r="U204">
        <v>54.455445544554458</v>
      </c>
      <c r="V204">
        <v>33.443836177667201</v>
      </c>
      <c r="W204">
        <v>0</v>
      </c>
    </row>
    <row r="205" spans="1:23">
      <c r="A205">
        <v>198</v>
      </c>
      <c r="B205">
        <v>53</v>
      </c>
      <c r="C205">
        <v>29.38</v>
      </c>
      <c r="D205">
        <v>106900</v>
      </c>
      <c r="E205">
        <v>110000</v>
      </c>
      <c r="F205">
        <v>0</v>
      </c>
      <c r="G205" t="s">
        <v>15</v>
      </c>
      <c r="H205">
        <v>445000</v>
      </c>
      <c r="I205">
        <v>345000</v>
      </c>
      <c r="J205">
        <v>360</v>
      </c>
      <c r="K205" t="str">
        <f t="shared" si="15"/>
        <v>20-30</v>
      </c>
      <c r="L205" s="13">
        <f t="shared" si="16"/>
        <v>77.528089887640448</v>
      </c>
      <c r="M205" t="str">
        <f t="shared" si="17"/>
        <v>not selected</v>
      </c>
      <c r="N205" t="str">
        <f t="shared" si="18"/>
        <v>not selected</v>
      </c>
      <c r="O205">
        <v>77.528089887640448</v>
      </c>
      <c r="P205">
        <v>9</v>
      </c>
      <c r="Q205">
        <v>360</v>
      </c>
      <c r="R205">
        <v>0</v>
      </c>
      <c r="S205">
        <v>3.8488672863805231</v>
      </c>
      <c r="T205" t="str">
        <f t="shared" si="19"/>
        <v>Less than 80%</v>
      </c>
      <c r="U205">
        <v>77.528089887640448</v>
      </c>
      <c r="V205">
        <v>9</v>
      </c>
      <c r="W205">
        <v>0</v>
      </c>
    </row>
    <row r="206" spans="1:23">
      <c r="A206">
        <v>199</v>
      </c>
      <c r="B206">
        <v>24</v>
      </c>
      <c r="C206">
        <v>59.59</v>
      </c>
      <c r="D206">
        <v>124900</v>
      </c>
      <c r="E206">
        <v>93000</v>
      </c>
      <c r="F206">
        <v>0</v>
      </c>
      <c r="G206" t="s">
        <v>15</v>
      </c>
      <c r="H206">
        <v>855000</v>
      </c>
      <c r="I206">
        <v>365000</v>
      </c>
      <c r="J206">
        <v>360</v>
      </c>
      <c r="K206" t="str">
        <f t="shared" si="15"/>
        <v>More than 50</v>
      </c>
      <c r="L206" s="13">
        <f t="shared" si="16"/>
        <v>42.690058479532162</v>
      </c>
      <c r="M206" t="str">
        <f t="shared" si="17"/>
        <v>not selected</v>
      </c>
      <c r="N206" t="str">
        <f t="shared" si="18"/>
        <v>not selected</v>
      </c>
      <c r="O206">
        <v>42.690058479532162</v>
      </c>
      <c r="P206">
        <v>31</v>
      </c>
      <c r="Q206">
        <v>360</v>
      </c>
      <c r="R206">
        <v>0</v>
      </c>
      <c r="S206">
        <v>4.8053858377935512</v>
      </c>
      <c r="T206" t="str">
        <f t="shared" si="19"/>
        <v>Less than 80%</v>
      </c>
      <c r="U206">
        <v>42.690058479532162</v>
      </c>
      <c r="V206">
        <v>31</v>
      </c>
      <c r="W206">
        <v>0</v>
      </c>
    </row>
    <row r="207" spans="1:23">
      <c r="A207">
        <v>200</v>
      </c>
      <c r="B207">
        <v>50</v>
      </c>
      <c r="C207">
        <v>4.45</v>
      </c>
      <c r="D207">
        <v>74600</v>
      </c>
      <c r="E207">
        <v>166000</v>
      </c>
      <c r="F207">
        <v>0</v>
      </c>
      <c r="G207" t="s">
        <v>15</v>
      </c>
      <c r="H207">
        <v>185000</v>
      </c>
      <c r="I207">
        <v>145000</v>
      </c>
      <c r="J207">
        <v>360</v>
      </c>
      <c r="K207" t="str">
        <f t="shared" si="15"/>
        <v>0-10</v>
      </c>
      <c r="L207" s="13">
        <f t="shared" si="16"/>
        <v>78.378378378378372</v>
      </c>
      <c r="M207" t="str">
        <f t="shared" si="17"/>
        <v>not selected</v>
      </c>
      <c r="N207" t="str">
        <f t="shared" si="18"/>
        <v>not selected</v>
      </c>
      <c r="O207">
        <v>78.378378378378372</v>
      </c>
      <c r="P207">
        <v>29</v>
      </c>
      <c r="Q207">
        <v>360</v>
      </c>
      <c r="R207">
        <v>0</v>
      </c>
      <c r="S207">
        <v>4.0718029884203197</v>
      </c>
      <c r="T207" t="str">
        <f t="shared" si="19"/>
        <v>Less than 80%</v>
      </c>
      <c r="U207">
        <v>78.378378378378372</v>
      </c>
      <c r="V207">
        <v>29</v>
      </c>
      <c r="W207">
        <v>0</v>
      </c>
    </row>
    <row r="208" spans="1:23">
      <c r="A208">
        <v>201</v>
      </c>
      <c r="B208">
        <v>4</v>
      </c>
      <c r="C208">
        <v>18.16</v>
      </c>
      <c r="D208">
        <v>77800</v>
      </c>
      <c r="E208">
        <v>55000</v>
      </c>
      <c r="F208">
        <v>0</v>
      </c>
      <c r="G208" t="s">
        <v>15</v>
      </c>
      <c r="H208">
        <v>615000</v>
      </c>
      <c r="I208">
        <v>345000</v>
      </c>
      <c r="J208">
        <v>360</v>
      </c>
      <c r="K208" t="str">
        <f t="shared" si="15"/>
        <v>10-20</v>
      </c>
      <c r="L208" s="13">
        <f t="shared" si="16"/>
        <v>56.09756097560976</v>
      </c>
      <c r="M208" t="str">
        <f t="shared" si="17"/>
        <v>not selected</v>
      </c>
      <c r="N208" t="str">
        <f t="shared" si="18"/>
        <v>not selected</v>
      </c>
      <c r="O208">
        <v>56.09756097560976</v>
      </c>
      <c r="P208">
        <v>33</v>
      </c>
      <c r="Q208">
        <v>360</v>
      </c>
      <c r="R208">
        <v>0</v>
      </c>
      <c r="S208">
        <v>3.9205445674397534</v>
      </c>
      <c r="T208" t="str">
        <f t="shared" si="19"/>
        <v>Less than 80%</v>
      </c>
      <c r="U208">
        <v>56.09756097560976</v>
      </c>
      <c r="V208">
        <v>33</v>
      </c>
      <c r="W208">
        <v>0</v>
      </c>
    </row>
    <row r="209" spans="1:23">
      <c r="A209">
        <v>202</v>
      </c>
      <c r="B209">
        <v>48</v>
      </c>
      <c r="C209">
        <v>29.58</v>
      </c>
      <c r="D209">
        <v>65000</v>
      </c>
      <c r="E209">
        <v>75000</v>
      </c>
      <c r="F209">
        <v>0</v>
      </c>
      <c r="G209" t="s">
        <v>15</v>
      </c>
      <c r="H209">
        <v>195000</v>
      </c>
      <c r="I209">
        <v>145000</v>
      </c>
      <c r="J209">
        <v>360</v>
      </c>
      <c r="K209" t="str">
        <f t="shared" si="15"/>
        <v>20-30</v>
      </c>
      <c r="L209" s="13">
        <f t="shared" si="16"/>
        <v>74.358974358974365</v>
      </c>
      <c r="M209" t="str">
        <f t="shared" si="17"/>
        <v>not selected</v>
      </c>
      <c r="N209" t="str">
        <f t="shared" si="18"/>
        <v>not selected</v>
      </c>
      <c r="O209">
        <v>74.358974358974365</v>
      </c>
      <c r="P209">
        <v>14</v>
      </c>
      <c r="Q209">
        <v>360</v>
      </c>
      <c r="R209">
        <v>0</v>
      </c>
      <c r="S209">
        <v>5.3734371728187069</v>
      </c>
      <c r="T209" t="str">
        <f t="shared" si="19"/>
        <v>Less than 80%</v>
      </c>
      <c r="U209">
        <v>74.358974358974365</v>
      </c>
      <c r="V209">
        <v>14</v>
      </c>
      <c r="W209">
        <v>0</v>
      </c>
    </row>
    <row r="210" spans="1:23">
      <c r="A210">
        <v>203</v>
      </c>
      <c r="B210">
        <v>46</v>
      </c>
      <c r="C210">
        <v>11.13</v>
      </c>
      <c r="D210">
        <v>86200</v>
      </c>
      <c r="E210">
        <v>106000</v>
      </c>
      <c r="F210">
        <v>0</v>
      </c>
      <c r="G210" t="s">
        <v>15</v>
      </c>
      <c r="H210">
        <v>195000</v>
      </c>
      <c r="I210">
        <v>145000</v>
      </c>
      <c r="J210">
        <v>180</v>
      </c>
      <c r="K210" t="str">
        <f t="shared" si="15"/>
        <v>10-20</v>
      </c>
      <c r="L210" s="13">
        <f t="shared" si="16"/>
        <v>74.358974358974365</v>
      </c>
      <c r="M210" t="str">
        <f t="shared" si="17"/>
        <v>selected</v>
      </c>
      <c r="N210" t="str">
        <f t="shared" si="18"/>
        <v>not selected</v>
      </c>
      <c r="O210">
        <v>74.358974358974365</v>
      </c>
      <c r="P210">
        <v>18</v>
      </c>
      <c r="Q210">
        <v>180</v>
      </c>
      <c r="R210">
        <v>0</v>
      </c>
      <c r="S210">
        <v>4.0387159578301572</v>
      </c>
      <c r="T210" t="str">
        <f t="shared" si="19"/>
        <v>Less than 80%</v>
      </c>
      <c r="U210">
        <v>74.358974358974365</v>
      </c>
      <c r="V210">
        <v>18</v>
      </c>
      <c r="W210">
        <v>0</v>
      </c>
    </row>
    <row r="211" spans="1:23">
      <c r="A211">
        <v>204</v>
      </c>
      <c r="B211">
        <v>44</v>
      </c>
      <c r="C211">
        <v>3.41</v>
      </c>
      <c r="D211">
        <v>89000</v>
      </c>
      <c r="E211">
        <v>107000</v>
      </c>
      <c r="F211">
        <v>0</v>
      </c>
      <c r="G211" t="s">
        <v>15</v>
      </c>
      <c r="H211">
        <v>455000</v>
      </c>
      <c r="I211">
        <v>185000</v>
      </c>
      <c r="J211">
        <v>180</v>
      </c>
      <c r="K211" t="str">
        <f t="shared" si="15"/>
        <v>0-10</v>
      </c>
      <c r="L211" s="13">
        <f t="shared" si="16"/>
        <v>40.659340659340657</v>
      </c>
      <c r="M211" t="str">
        <f t="shared" si="17"/>
        <v>selected</v>
      </c>
      <c r="N211" t="str">
        <f t="shared" si="18"/>
        <v>not selected</v>
      </c>
      <c r="O211">
        <v>40.659340659340657</v>
      </c>
      <c r="P211">
        <v>23</v>
      </c>
      <c r="Q211">
        <v>180</v>
      </c>
      <c r="R211">
        <v>0</v>
      </c>
      <c r="S211">
        <v>3.3091879056993259</v>
      </c>
      <c r="T211" t="str">
        <f t="shared" si="19"/>
        <v>Less than 80%</v>
      </c>
      <c r="U211">
        <v>40.659340659340657</v>
      </c>
      <c r="V211">
        <v>23</v>
      </c>
      <c r="W211">
        <v>0</v>
      </c>
    </row>
    <row r="212" spans="1:23">
      <c r="A212">
        <v>205</v>
      </c>
      <c r="B212">
        <v>24</v>
      </c>
      <c r="C212">
        <v>40.79</v>
      </c>
      <c r="D212">
        <v>104000</v>
      </c>
      <c r="E212">
        <v>41000</v>
      </c>
      <c r="F212">
        <v>0</v>
      </c>
      <c r="G212" t="s">
        <v>15</v>
      </c>
      <c r="H212">
        <v>195000</v>
      </c>
      <c r="I212">
        <v>135000</v>
      </c>
      <c r="J212">
        <v>240</v>
      </c>
      <c r="K212" t="str">
        <f t="shared" si="15"/>
        <v>40-50</v>
      </c>
      <c r="L212" s="13">
        <f t="shared" si="16"/>
        <v>69.230769230769226</v>
      </c>
      <c r="M212" t="str">
        <f t="shared" si="17"/>
        <v>not selected</v>
      </c>
      <c r="N212" t="str">
        <f t="shared" si="18"/>
        <v>not selected</v>
      </c>
      <c r="O212">
        <v>69.230769230769226</v>
      </c>
      <c r="P212">
        <v>27</v>
      </c>
      <c r="Q212">
        <v>240</v>
      </c>
      <c r="R212">
        <v>0</v>
      </c>
      <c r="S212">
        <v>3.6693781205525107</v>
      </c>
      <c r="T212" t="str">
        <f t="shared" si="19"/>
        <v>Less than 80%</v>
      </c>
      <c r="U212">
        <v>69.230769230769226</v>
      </c>
      <c r="V212">
        <v>27</v>
      </c>
      <c r="W212">
        <v>0</v>
      </c>
    </row>
    <row r="213" spans="1:23">
      <c r="A213">
        <v>206</v>
      </c>
      <c r="B213">
        <v>18</v>
      </c>
      <c r="C213">
        <v>4.7300000000000004</v>
      </c>
      <c r="D213">
        <v>65300</v>
      </c>
      <c r="E213">
        <v>105000</v>
      </c>
      <c r="F213">
        <v>0</v>
      </c>
      <c r="G213" t="s">
        <v>15</v>
      </c>
      <c r="H213">
        <v>145000</v>
      </c>
      <c r="I213">
        <v>75000</v>
      </c>
      <c r="J213">
        <v>180</v>
      </c>
      <c r="K213" t="str">
        <f t="shared" si="15"/>
        <v>0-10</v>
      </c>
      <c r="L213" s="13">
        <f t="shared" si="16"/>
        <v>51.724137931034484</v>
      </c>
      <c r="M213" t="str">
        <f t="shared" si="17"/>
        <v>selected</v>
      </c>
      <c r="N213" t="str">
        <f t="shared" si="18"/>
        <v>not selected</v>
      </c>
      <c r="O213">
        <v>51.724137931034484</v>
      </c>
      <c r="P213">
        <v>20</v>
      </c>
      <c r="Q213">
        <v>180</v>
      </c>
      <c r="R213">
        <v>0</v>
      </c>
      <c r="S213">
        <v>4.2602430415333217</v>
      </c>
      <c r="T213" t="str">
        <f t="shared" si="19"/>
        <v>Less than 80%</v>
      </c>
      <c r="U213">
        <v>51.724137931034484</v>
      </c>
      <c r="V213">
        <v>20</v>
      </c>
      <c r="W213">
        <v>0</v>
      </c>
    </row>
    <row r="214" spans="1:23">
      <c r="A214">
        <v>207</v>
      </c>
      <c r="B214">
        <v>12</v>
      </c>
      <c r="C214">
        <v>11.84</v>
      </c>
      <c r="D214">
        <v>68300</v>
      </c>
      <c r="E214">
        <v>152000</v>
      </c>
      <c r="F214">
        <v>1</v>
      </c>
      <c r="G214" t="s">
        <v>15</v>
      </c>
      <c r="H214">
        <v>435000</v>
      </c>
      <c r="I214">
        <v>335000</v>
      </c>
      <c r="J214">
        <v>360</v>
      </c>
      <c r="K214" t="str">
        <f t="shared" si="15"/>
        <v>10-20</v>
      </c>
      <c r="L214" s="13">
        <f t="shared" si="16"/>
        <v>77.011494252873561</v>
      </c>
      <c r="M214" t="str">
        <f t="shared" si="17"/>
        <v>not selected</v>
      </c>
      <c r="N214" t="str">
        <f t="shared" si="18"/>
        <v>not selected</v>
      </c>
      <c r="O214">
        <v>77.011494252873561</v>
      </c>
      <c r="P214">
        <v>33.443836177667201</v>
      </c>
      <c r="Q214">
        <v>360</v>
      </c>
      <c r="R214">
        <v>1</v>
      </c>
      <c r="S214">
        <v>4.8010011740779932</v>
      </c>
      <c r="T214" t="str">
        <f t="shared" si="19"/>
        <v>Less than 80%</v>
      </c>
      <c r="U214">
        <v>77.011494252873561</v>
      </c>
      <c r="V214">
        <v>33.443836177667201</v>
      </c>
      <c r="W214">
        <v>1</v>
      </c>
    </row>
    <row r="215" spans="1:23">
      <c r="A215">
        <v>208</v>
      </c>
      <c r="B215">
        <v>8</v>
      </c>
      <c r="C215">
        <v>13.29</v>
      </c>
      <c r="D215">
        <v>100000</v>
      </c>
      <c r="E215">
        <v>165000</v>
      </c>
      <c r="F215">
        <v>0</v>
      </c>
      <c r="G215" t="s">
        <v>15</v>
      </c>
      <c r="H215">
        <v>845000</v>
      </c>
      <c r="I215">
        <v>365000</v>
      </c>
      <c r="J215">
        <v>360</v>
      </c>
      <c r="K215" t="str">
        <f t="shared" si="15"/>
        <v>10-20</v>
      </c>
      <c r="L215" s="13">
        <f t="shared" si="16"/>
        <v>43.19526627218935</v>
      </c>
      <c r="M215" t="str">
        <f t="shared" si="17"/>
        <v>not selected</v>
      </c>
      <c r="N215" t="str">
        <f t="shared" si="18"/>
        <v>not selected</v>
      </c>
      <c r="O215">
        <v>43.19526627218935</v>
      </c>
      <c r="P215">
        <v>41</v>
      </c>
      <c r="Q215">
        <v>360</v>
      </c>
      <c r="R215">
        <v>0</v>
      </c>
      <c r="S215">
        <v>4.658469288538635</v>
      </c>
      <c r="T215" t="str">
        <f t="shared" si="19"/>
        <v>Less than 80%</v>
      </c>
      <c r="U215">
        <v>43.19526627218935</v>
      </c>
      <c r="V215">
        <v>41</v>
      </c>
      <c r="W215">
        <v>0</v>
      </c>
    </row>
    <row r="216" spans="1:23">
      <c r="A216">
        <v>209</v>
      </c>
      <c r="B216">
        <v>48</v>
      </c>
      <c r="C216">
        <v>25.3</v>
      </c>
      <c r="D216">
        <v>84800</v>
      </c>
      <c r="E216">
        <v>122000</v>
      </c>
      <c r="F216">
        <v>0</v>
      </c>
      <c r="G216" t="s">
        <v>15</v>
      </c>
      <c r="H216">
        <v>265000</v>
      </c>
      <c r="I216">
        <v>195000</v>
      </c>
      <c r="J216">
        <v>360</v>
      </c>
      <c r="K216" t="str">
        <f t="shared" si="15"/>
        <v>20-30</v>
      </c>
      <c r="L216" s="13">
        <f t="shared" si="16"/>
        <v>73.584905660377359</v>
      </c>
      <c r="M216" t="str">
        <f t="shared" si="17"/>
        <v>not selected</v>
      </c>
      <c r="N216" t="str">
        <f t="shared" si="18"/>
        <v>not selected</v>
      </c>
      <c r="O216">
        <v>73.584905660377359</v>
      </c>
      <c r="P216">
        <v>9</v>
      </c>
      <c r="Q216">
        <v>360</v>
      </c>
      <c r="R216">
        <v>0</v>
      </c>
      <c r="S216">
        <v>4.7910029142966204</v>
      </c>
      <c r="T216" t="str">
        <f t="shared" si="19"/>
        <v>Less than 80%</v>
      </c>
      <c r="U216">
        <v>73.584905660377359</v>
      </c>
      <c r="V216">
        <v>9</v>
      </c>
      <c r="W216">
        <v>0</v>
      </c>
    </row>
    <row r="217" spans="1:23">
      <c r="A217">
        <v>210</v>
      </c>
      <c r="B217">
        <v>25</v>
      </c>
      <c r="C217">
        <v>11.53</v>
      </c>
      <c r="D217">
        <v>114000</v>
      </c>
      <c r="E217">
        <v>72000</v>
      </c>
      <c r="F217">
        <v>0</v>
      </c>
      <c r="G217" t="s">
        <v>15</v>
      </c>
      <c r="H217">
        <v>475000</v>
      </c>
      <c r="I217">
        <v>315000</v>
      </c>
      <c r="J217">
        <v>360</v>
      </c>
      <c r="K217" t="str">
        <f t="shared" si="15"/>
        <v>10-20</v>
      </c>
      <c r="L217" s="13">
        <f t="shared" si="16"/>
        <v>66.315789473684205</v>
      </c>
      <c r="M217" t="str">
        <f t="shared" si="17"/>
        <v>not selected</v>
      </c>
      <c r="N217" t="str">
        <f t="shared" si="18"/>
        <v>not selected</v>
      </c>
      <c r="O217">
        <v>66.315789473684205</v>
      </c>
      <c r="P217">
        <v>25</v>
      </c>
      <c r="Q217">
        <v>360</v>
      </c>
      <c r="R217">
        <v>0</v>
      </c>
      <c r="S217">
        <v>3.5707379504760057</v>
      </c>
      <c r="T217" t="str">
        <f t="shared" si="19"/>
        <v>Less than 80%</v>
      </c>
      <c r="U217">
        <v>66.315789473684205</v>
      </c>
      <c r="V217">
        <v>25</v>
      </c>
      <c r="W217">
        <v>0</v>
      </c>
    </row>
    <row r="218" spans="1:23">
      <c r="A218">
        <v>211</v>
      </c>
      <c r="B218">
        <v>8</v>
      </c>
      <c r="C218">
        <v>25.29</v>
      </c>
      <c r="D218">
        <v>115100</v>
      </c>
      <c r="E218">
        <v>70000</v>
      </c>
      <c r="F218">
        <v>0</v>
      </c>
      <c r="G218" t="s">
        <v>15</v>
      </c>
      <c r="H218">
        <v>375000</v>
      </c>
      <c r="I218">
        <v>255000</v>
      </c>
      <c r="J218">
        <v>240</v>
      </c>
      <c r="K218" t="str">
        <f t="shared" si="15"/>
        <v>20-30</v>
      </c>
      <c r="L218" s="13">
        <f t="shared" si="16"/>
        <v>68</v>
      </c>
      <c r="M218" t="str">
        <f t="shared" si="17"/>
        <v>not selected</v>
      </c>
      <c r="N218" t="str">
        <f t="shared" si="18"/>
        <v>not selected</v>
      </c>
      <c r="O218">
        <v>68</v>
      </c>
      <c r="P218">
        <v>41</v>
      </c>
      <c r="Q218">
        <v>240</v>
      </c>
      <c r="R218">
        <v>0</v>
      </c>
      <c r="S218">
        <v>5.6451514357335526</v>
      </c>
      <c r="T218" t="str">
        <f t="shared" si="19"/>
        <v>Less than 80%</v>
      </c>
      <c r="U218">
        <v>68</v>
      </c>
      <c r="V218">
        <v>41</v>
      </c>
      <c r="W218">
        <v>0</v>
      </c>
    </row>
    <row r="219" spans="1:23">
      <c r="A219">
        <v>212</v>
      </c>
      <c r="B219">
        <v>32</v>
      </c>
      <c r="C219">
        <v>65</v>
      </c>
      <c r="D219">
        <v>70800</v>
      </c>
      <c r="E219">
        <v>120000</v>
      </c>
      <c r="F219">
        <v>1</v>
      </c>
      <c r="G219" t="s">
        <v>15</v>
      </c>
      <c r="H219">
        <v>505000</v>
      </c>
      <c r="I219">
        <v>475000</v>
      </c>
      <c r="J219">
        <v>360</v>
      </c>
      <c r="K219" t="str">
        <f t="shared" si="15"/>
        <v>More than 50</v>
      </c>
      <c r="L219" s="13">
        <f t="shared" si="16"/>
        <v>94.059405940594047</v>
      </c>
      <c r="M219" t="str">
        <f t="shared" si="17"/>
        <v>not selected</v>
      </c>
      <c r="N219" t="str">
        <f t="shared" si="18"/>
        <v>not selected</v>
      </c>
      <c r="O219">
        <v>94.059405940594047</v>
      </c>
      <c r="P219">
        <v>34</v>
      </c>
      <c r="Q219">
        <v>360</v>
      </c>
      <c r="R219">
        <v>1</v>
      </c>
      <c r="S219">
        <v>5.4093813662335393</v>
      </c>
      <c r="T219" t="str">
        <f t="shared" si="19"/>
        <v>More than 80%</v>
      </c>
      <c r="U219">
        <v>94.059405940594047</v>
      </c>
      <c r="V219">
        <v>34</v>
      </c>
      <c r="W219">
        <v>1</v>
      </c>
    </row>
    <row r="220" spans="1:23">
      <c r="A220">
        <v>213</v>
      </c>
      <c r="B220">
        <v>48</v>
      </c>
      <c r="C220">
        <v>39.86</v>
      </c>
      <c r="D220">
        <v>84800</v>
      </c>
      <c r="E220">
        <v>241000</v>
      </c>
      <c r="F220">
        <v>0</v>
      </c>
      <c r="G220" t="s">
        <v>15</v>
      </c>
      <c r="H220">
        <v>435000</v>
      </c>
      <c r="I220">
        <v>285000</v>
      </c>
      <c r="J220">
        <v>360</v>
      </c>
      <c r="K220" t="str">
        <f t="shared" si="15"/>
        <v>30-40</v>
      </c>
      <c r="L220" s="13">
        <f t="shared" si="16"/>
        <v>65.517241379310349</v>
      </c>
      <c r="M220" t="str">
        <f t="shared" si="17"/>
        <v>not selected</v>
      </c>
      <c r="N220" t="str">
        <f t="shared" si="18"/>
        <v>selected</v>
      </c>
      <c r="O220">
        <v>65.517241379310349</v>
      </c>
      <c r="P220">
        <v>33.443836177667201</v>
      </c>
      <c r="Q220">
        <v>360</v>
      </c>
      <c r="R220">
        <v>0</v>
      </c>
      <c r="S220">
        <v>4.5263230985458005</v>
      </c>
      <c r="T220" t="str">
        <f t="shared" si="19"/>
        <v>Less than 80%</v>
      </c>
      <c r="U220">
        <v>65.517241379310349</v>
      </c>
      <c r="V220">
        <v>33.443836177667201</v>
      </c>
      <c r="W220">
        <v>0</v>
      </c>
    </row>
    <row r="221" spans="1:23">
      <c r="A221">
        <v>214</v>
      </c>
      <c r="B221">
        <v>22</v>
      </c>
      <c r="C221">
        <v>18.329999999999998</v>
      </c>
      <c r="D221">
        <v>54200</v>
      </c>
      <c r="E221">
        <v>69000</v>
      </c>
      <c r="F221">
        <v>0</v>
      </c>
      <c r="G221" t="s">
        <v>15</v>
      </c>
      <c r="H221">
        <v>445000</v>
      </c>
      <c r="I221">
        <v>325000</v>
      </c>
      <c r="J221">
        <v>360</v>
      </c>
      <c r="K221" t="str">
        <f t="shared" si="15"/>
        <v>10-20</v>
      </c>
      <c r="L221" s="13">
        <f t="shared" si="16"/>
        <v>73.033707865168537</v>
      </c>
      <c r="M221" t="str">
        <f t="shared" si="17"/>
        <v>not selected</v>
      </c>
      <c r="N221" t="str">
        <f t="shared" si="18"/>
        <v>not selected</v>
      </c>
      <c r="O221">
        <v>73.033707865168537</v>
      </c>
      <c r="P221">
        <v>33.443836177667201</v>
      </c>
      <c r="Q221">
        <v>360</v>
      </c>
      <c r="R221">
        <v>0</v>
      </c>
      <c r="S221">
        <v>5.3366361486839615</v>
      </c>
      <c r="T221" t="str">
        <f t="shared" si="19"/>
        <v>Less than 80%</v>
      </c>
      <c r="U221">
        <v>73.033707865168537</v>
      </c>
      <c r="V221">
        <v>33.443836177667201</v>
      </c>
      <c r="W221">
        <v>0</v>
      </c>
    </row>
    <row r="222" spans="1:23">
      <c r="A222">
        <v>215</v>
      </c>
      <c r="B222">
        <v>26</v>
      </c>
      <c r="C222">
        <v>4.8600000000000003</v>
      </c>
      <c r="D222">
        <v>79700</v>
      </c>
      <c r="E222">
        <v>192000</v>
      </c>
      <c r="F222">
        <v>0</v>
      </c>
      <c r="G222" t="s">
        <v>15</v>
      </c>
      <c r="H222">
        <v>505000</v>
      </c>
      <c r="I222">
        <v>375000</v>
      </c>
      <c r="J222">
        <v>180</v>
      </c>
      <c r="K222" t="str">
        <f t="shared" si="15"/>
        <v>0-10</v>
      </c>
      <c r="L222" s="13">
        <f t="shared" si="16"/>
        <v>74.257425742574256</v>
      </c>
      <c r="M222" t="str">
        <f t="shared" si="17"/>
        <v>selected</v>
      </c>
      <c r="N222" t="str">
        <f t="shared" si="18"/>
        <v>not selected</v>
      </c>
      <c r="O222">
        <v>74.257425742574256</v>
      </c>
      <c r="P222">
        <v>27</v>
      </c>
      <c r="Q222">
        <v>180</v>
      </c>
      <c r="R222">
        <v>0</v>
      </c>
      <c r="S222">
        <v>3.5639155199802941</v>
      </c>
      <c r="T222" t="str">
        <f t="shared" si="19"/>
        <v>Less than 80%</v>
      </c>
      <c r="U222">
        <v>74.257425742574256</v>
      </c>
      <c r="V222">
        <v>27</v>
      </c>
      <c r="W222">
        <v>0</v>
      </c>
    </row>
    <row r="223" spans="1:23">
      <c r="A223">
        <v>216</v>
      </c>
      <c r="B223">
        <v>48</v>
      </c>
      <c r="C223">
        <v>32.5</v>
      </c>
      <c r="D223">
        <v>80000</v>
      </c>
      <c r="E223">
        <v>187000</v>
      </c>
      <c r="F223">
        <v>0</v>
      </c>
      <c r="G223" t="s">
        <v>15</v>
      </c>
      <c r="H223">
        <v>295000</v>
      </c>
      <c r="I223">
        <v>215000</v>
      </c>
      <c r="J223">
        <v>180</v>
      </c>
      <c r="K223" t="str">
        <f t="shared" si="15"/>
        <v>30-40</v>
      </c>
      <c r="L223" s="13">
        <f t="shared" si="16"/>
        <v>72.881355932203391</v>
      </c>
      <c r="M223" t="str">
        <f t="shared" si="17"/>
        <v>selected</v>
      </c>
      <c r="N223" t="str">
        <f t="shared" si="18"/>
        <v>not selected</v>
      </c>
      <c r="O223">
        <v>72.881355932203391</v>
      </c>
      <c r="P223">
        <v>15</v>
      </c>
      <c r="Q223">
        <v>180</v>
      </c>
      <c r="R223">
        <v>0</v>
      </c>
      <c r="S223">
        <v>3.4831851401583966</v>
      </c>
      <c r="T223" t="str">
        <f t="shared" si="19"/>
        <v>Less than 80%</v>
      </c>
      <c r="U223">
        <v>72.881355932203391</v>
      </c>
      <c r="V223">
        <v>15</v>
      </c>
      <c r="W223">
        <v>0</v>
      </c>
    </row>
    <row r="224" spans="1:23">
      <c r="A224">
        <v>217</v>
      </c>
      <c r="B224">
        <v>6</v>
      </c>
      <c r="C224">
        <v>76.87</v>
      </c>
      <c r="D224">
        <v>127900</v>
      </c>
      <c r="E224">
        <v>251000</v>
      </c>
      <c r="F224">
        <v>0</v>
      </c>
      <c r="G224" t="s">
        <v>15</v>
      </c>
      <c r="H224">
        <v>985000</v>
      </c>
      <c r="I224">
        <v>625000</v>
      </c>
      <c r="J224">
        <v>360</v>
      </c>
      <c r="K224" t="str">
        <f t="shared" si="15"/>
        <v>More than 50</v>
      </c>
      <c r="L224" s="13">
        <f t="shared" si="16"/>
        <v>63.451776649746193</v>
      </c>
      <c r="M224" t="str">
        <f t="shared" si="17"/>
        <v>not selected</v>
      </c>
      <c r="N224" t="str">
        <f t="shared" si="18"/>
        <v>selected</v>
      </c>
      <c r="O224">
        <v>63.451776649746193</v>
      </c>
      <c r="P224">
        <v>25</v>
      </c>
      <c r="Q224">
        <v>360</v>
      </c>
      <c r="R224">
        <v>0</v>
      </c>
      <c r="S224">
        <v>4.3555357791391511</v>
      </c>
      <c r="T224" t="str">
        <f t="shared" si="19"/>
        <v>Less than 80%</v>
      </c>
      <c r="U224">
        <v>63.451776649746193</v>
      </c>
      <c r="V224">
        <v>25</v>
      </c>
      <c r="W224">
        <v>0</v>
      </c>
    </row>
    <row r="225" spans="1:23">
      <c r="A225">
        <v>218</v>
      </c>
      <c r="B225">
        <v>6</v>
      </c>
      <c r="C225">
        <v>96.18</v>
      </c>
      <c r="D225">
        <v>83300</v>
      </c>
      <c r="E225">
        <v>76000</v>
      </c>
      <c r="F225">
        <v>0</v>
      </c>
      <c r="G225" t="s">
        <v>15</v>
      </c>
      <c r="H225">
        <v>555000</v>
      </c>
      <c r="I225">
        <v>375000</v>
      </c>
      <c r="J225">
        <v>360</v>
      </c>
      <c r="K225" t="str">
        <f t="shared" si="15"/>
        <v>More than 50</v>
      </c>
      <c r="L225" s="13">
        <f t="shared" si="16"/>
        <v>67.567567567567565</v>
      </c>
      <c r="M225" t="str">
        <f t="shared" si="17"/>
        <v>not selected</v>
      </c>
      <c r="N225" t="str">
        <f t="shared" si="18"/>
        <v>not selected</v>
      </c>
      <c r="O225">
        <v>67.567567567567565</v>
      </c>
      <c r="P225">
        <v>32</v>
      </c>
      <c r="Q225">
        <v>360</v>
      </c>
      <c r="R225">
        <v>0</v>
      </c>
      <c r="S225">
        <v>4.2715559035043942</v>
      </c>
      <c r="T225" t="str">
        <f t="shared" si="19"/>
        <v>Less than 80%</v>
      </c>
      <c r="U225">
        <v>67.567567567567565</v>
      </c>
      <c r="V225">
        <v>32</v>
      </c>
      <c r="W225">
        <v>0</v>
      </c>
    </row>
    <row r="226" spans="1:23">
      <c r="A226">
        <v>219</v>
      </c>
      <c r="B226">
        <v>24</v>
      </c>
      <c r="C226">
        <v>38.840000000000003</v>
      </c>
      <c r="D226">
        <v>104000</v>
      </c>
      <c r="E226">
        <v>201000</v>
      </c>
      <c r="F226">
        <v>0</v>
      </c>
      <c r="G226" t="s">
        <v>15</v>
      </c>
      <c r="H226">
        <v>635000</v>
      </c>
      <c r="I226">
        <v>445000</v>
      </c>
      <c r="J226">
        <v>360</v>
      </c>
      <c r="K226" t="str">
        <f t="shared" si="15"/>
        <v>30-40</v>
      </c>
      <c r="L226" s="13">
        <f t="shared" si="16"/>
        <v>70.078740157480311</v>
      </c>
      <c r="M226" t="str">
        <f t="shared" si="17"/>
        <v>not selected</v>
      </c>
      <c r="N226" t="str">
        <f t="shared" si="18"/>
        <v>not selected</v>
      </c>
      <c r="O226">
        <v>70.078740157480311</v>
      </c>
      <c r="P226">
        <v>33.443836177667201</v>
      </c>
      <c r="Q226">
        <v>360</v>
      </c>
      <c r="R226">
        <v>0</v>
      </c>
      <c r="S226">
        <v>5.3557895480617637</v>
      </c>
      <c r="T226" t="str">
        <f t="shared" si="19"/>
        <v>Less than 80%</v>
      </c>
      <c r="U226">
        <v>70.078740157480311</v>
      </c>
      <c r="V226">
        <v>33.443836177667201</v>
      </c>
      <c r="W226">
        <v>0</v>
      </c>
    </row>
    <row r="227" spans="1:23">
      <c r="A227">
        <v>220</v>
      </c>
      <c r="B227">
        <v>18</v>
      </c>
      <c r="C227">
        <v>51.94</v>
      </c>
      <c r="D227">
        <v>79600</v>
      </c>
      <c r="E227">
        <v>231000</v>
      </c>
      <c r="F227">
        <v>0</v>
      </c>
      <c r="G227" t="s">
        <v>15</v>
      </c>
      <c r="H227">
        <v>555000</v>
      </c>
      <c r="I227">
        <v>435000</v>
      </c>
      <c r="J227">
        <v>360</v>
      </c>
      <c r="K227" t="str">
        <f t="shared" si="15"/>
        <v>More than 50</v>
      </c>
      <c r="L227" s="13">
        <f t="shared" si="16"/>
        <v>78.378378378378372</v>
      </c>
      <c r="M227" t="str">
        <f t="shared" si="17"/>
        <v>not selected</v>
      </c>
      <c r="N227" t="str">
        <f t="shared" si="18"/>
        <v>selected</v>
      </c>
      <c r="O227">
        <v>78.378378378378372</v>
      </c>
      <c r="P227">
        <v>35</v>
      </c>
      <c r="Q227">
        <v>360</v>
      </c>
      <c r="R227">
        <v>0</v>
      </c>
      <c r="S227">
        <v>4.4445171440540836</v>
      </c>
      <c r="T227" t="str">
        <f t="shared" si="19"/>
        <v>Less than 80%</v>
      </c>
      <c r="U227">
        <v>78.378378378378372</v>
      </c>
      <c r="V227">
        <v>35</v>
      </c>
      <c r="W227">
        <v>0</v>
      </c>
    </row>
    <row r="228" spans="1:23">
      <c r="A228">
        <v>221</v>
      </c>
      <c r="B228">
        <v>34</v>
      </c>
      <c r="C228">
        <v>54.93</v>
      </c>
      <c r="D228">
        <v>108700</v>
      </c>
      <c r="E228">
        <v>51000</v>
      </c>
      <c r="F228">
        <v>0</v>
      </c>
      <c r="G228" t="s">
        <v>15</v>
      </c>
      <c r="H228">
        <v>255000</v>
      </c>
      <c r="I228">
        <v>205000</v>
      </c>
      <c r="J228">
        <v>240</v>
      </c>
      <c r="K228" t="str">
        <f t="shared" si="15"/>
        <v>More than 50</v>
      </c>
      <c r="L228" s="13">
        <f t="shared" si="16"/>
        <v>80.392156862745097</v>
      </c>
      <c r="M228" t="str">
        <f t="shared" si="17"/>
        <v>not selected</v>
      </c>
      <c r="N228" t="str">
        <f t="shared" si="18"/>
        <v>not selected</v>
      </c>
      <c r="O228">
        <v>80.392156862745097</v>
      </c>
      <c r="P228">
        <v>25</v>
      </c>
      <c r="Q228">
        <v>240</v>
      </c>
      <c r="R228">
        <v>0</v>
      </c>
      <c r="S228">
        <v>3.8391761590686446</v>
      </c>
      <c r="T228" t="str">
        <f t="shared" si="19"/>
        <v>More than 80%</v>
      </c>
      <c r="U228">
        <v>80.392156862745097</v>
      </c>
      <c r="V228">
        <v>25</v>
      </c>
      <c r="W228">
        <v>0</v>
      </c>
    </row>
    <row r="229" spans="1:23">
      <c r="A229">
        <v>222</v>
      </c>
      <c r="B229">
        <v>47</v>
      </c>
      <c r="C229">
        <v>31.7</v>
      </c>
      <c r="D229">
        <v>68900</v>
      </c>
      <c r="E229">
        <v>86000</v>
      </c>
      <c r="F229">
        <v>0</v>
      </c>
      <c r="G229" t="s">
        <v>15</v>
      </c>
      <c r="H229">
        <v>235000</v>
      </c>
      <c r="I229">
        <v>195000</v>
      </c>
      <c r="J229">
        <v>180</v>
      </c>
      <c r="K229" t="str">
        <f t="shared" si="15"/>
        <v>30-40</v>
      </c>
      <c r="L229" s="13">
        <f t="shared" si="16"/>
        <v>82.978723404255319</v>
      </c>
      <c r="M229" t="str">
        <f t="shared" si="17"/>
        <v>not selected</v>
      </c>
      <c r="N229" t="str">
        <f t="shared" si="18"/>
        <v>not selected</v>
      </c>
      <c r="O229">
        <v>82.978723404255319</v>
      </c>
      <c r="P229">
        <v>19</v>
      </c>
      <c r="Q229">
        <v>180</v>
      </c>
      <c r="R229">
        <v>0</v>
      </c>
      <c r="S229">
        <v>4.1510133028871721</v>
      </c>
      <c r="T229" t="str">
        <f t="shared" si="19"/>
        <v>More than 80%</v>
      </c>
      <c r="U229">
        <v>82.978723404255319</v>
      </c>
      <c r="V229">
        <v>19</v>
      </c>
      <c r="W229">
        <v>0</v>
      </c>
    </row>
    <row r="230" spans="1:23">
      <c r="A230">
        <v>223</v>
      </c>
      <c r="B230">
        <v>9</v>
      </c>
      <c r="C230">
        <v>11.88</v>
      </c>
      <c r="D230">
        <v>119500</v>
      </c>
      <c r="E230">
        <v>138000</v>
      </c>
      <c r="F230">
        <v>0</v>
      </c>
      <c r="G230" t="s">
        <v>15</v>
      </c>
      <c r="H230">
        <v>665000</v>
      </c>
      <c r="I230">
        <v>445000</v>
      </c>
      <c r="J230">
        <v>360</v>
      </c>
      <c r="K230" t="str">
        <f t="shared" si="15"/>
        <v>10-20</v>
      </c>
      <c r="L230" s="13">
        <f t="shared" si="16"/>
        <v>66.917293233082702</v>
      </c>
      <c r="M230" t="str">
        <f t="shared" si="17"/>
        <v>not selected</v>
      </c>
      <c r="N230" t="str">
        <f t="shared" si="18"/>
        <v>not selected</v>
      </c>
      <c r="O230">
        <v>66.917293233082702</v>
      </c>
      <c r="P230">
        <v>33</v>
      </c>
      <c r="Q230">
        <v>360</v>
      </c>
      <c r="R230">
        <v>0</v>
      </c>
      <c r="S230">
        <v>4.9711731134212975</v>
      </c>
      <c r="T230" t="str">
        <f t="shared" si="19"/>
        <v>Less than 80%</v>
      </c>
      <c r="U230">
        <v>66.917293233082702</v>
      </c>
      <c r="V230">
        <v>33</v>
      </c>
      <c r="W230">
        <v>0</v>
      </c>
    </row>
    <row r="231" spans="1:23">
      <c r="A231">
        <v>224</v>
      </c>
      <c r="B231">
        <v>17</v>
      </c>
      <c r="C231">
        <v>7.85</v>
      </c>
      <c r="D231">
        <v>65800</v>
      </c>
      <c r="E231">
        <v>90000</v>
      </c>
      <c r="F231">
        <v>0</v>
      </c>
      <c r="G231" t="s">
        <v>15</v>
      </c>
      <c r="H231">
        <v>145000</v>
      </c>
      <c r="I231">
        <v>115000</v>
      </c>
      <c r="J231">
        <v>240</v>
      </c>
      <c r="K231" t="str">
        <f t="shared" si="15"/>
        <v>0-10</v>
      </c>
      <c r="L231" s="13">
        <f t="shared" si="16"/>
        <v>79.310344827586206</v>
      </c>
      <c r="M231" t="str">
        <f t="shared" si="17"/>
        <v>not selected</v>
      </c>
      <c r="N231" t="str">
        <f t="shared" si="18"/>
        <v>not selected</v>
      </c>
      <c r="O231">
        <v>79.310344827586206</v>
      </c>
      <c r="P231">
        <v>37</v>
      </c>
      <c r="Q231">
        <v>240</v>
      </c>
      <c r="R231">
        <v>0</v>
      </c>
      <c r="S231">
        <v>4.5217436057478384</v>
      </c>
      <c r="T231" t="str">
        <f t="shared" si="19"/>
        <v>Less than 80%</v>
      </c>
      <c r="U231">
        <v>79.310344827586206</v>
      </c>
      <c r="V231">
        <v>37</v>
      </c>
      <c r="W231">
        <v>0</v>
      </c>
    </row>
    <row r="232" spans="1:23">
      <c r="A232">
        <v>225</v>
      </c>
      <c r="B232">
        <v>6</v>
      </c>
      <c r="C232">
        <v>78.349999999999994</v>
      </c>
      <c r="D232">
        <v>86700</v>
      </c>
      <c r="E232">
        <v>56000</v>
      </c>
      <c r="F232">
        <v>1</v>
      </c>
      <c r="G232" t="s">
        <v>15</v>
      </c>
      <c r="H232">
        <v>165000</v>
      </c>
      <c r="I232">
        <v>165000</v>
      </c>
      <c r="J232">
        <v>360</v>
      </c>
      <c r="K232" t="str">
        <f t="shared" si="15"/>
        <v>More than 50</v>
      </c>
      <c r="L232" s="13">
        <f t="shared" si="16"/>
        <v>100</v>
      </c>
      <c r="M232" t="str">
        <f t="shared" si="17"/>
        <v>not selected</v>
      </c>
      <c r="N232" t="str">
        <f t="shared" si="18"/>
        <v>not selected</v>
      </c>
      <c r="O232">
        <v>100</v>
      </c>
      <c r="P232">
        <v>32</v>
      </c>
      <c r="Q232">
        <v>360</v>
      </c>
      <c r="R232">
        <v>1</v>
      </c>
      <c r="S232">
        <v>4.6715323875117711</v>
      </c>
      <c r="T232" t="str">
        <f t="shared" si="19"/>
        <v>More than 80%</v>
      </c>
      <c r="U232">
        <v>100</v>
      </c>
      <c r="V232">
        <v>32</v>
      </c>
      <c r="W232">
        <v>1</v>
      </c>
    </row>
    <row r="233" spans="1:23">
      <c r="A233">
        <v>226</v>
      </c>
      <c r="B233">
        <v>6</v>
      </c>
      <c r="C233">
        <v>44.1</v>
      </c>
      <c r="D233">
        <v>83300</v>
      </c>
      <c r="E233">
        <v>113000</v>
      </c>
      <c r="F233">
        <v>0</v>
      </c>
      <c r="G233" t="s">
        <v>15</v>
      </c>
      <c r="H233">
        <v>755000</v>
      </c>
      <c r="I233">
        <v>395000</v>
      </c>
      <c r="J233">
        <v>240</v>
      </c>
      <c r="K233" t="str">
        <f t="shared" si="15"/>
        <v>40-50</v>
      </c>
      <c r="L233" s="13">
        <f t="shared" si="16"/>
        <v>52.317880794701985</v>
      </c>
      <c r="M233" t="str">
        <f t="shared" si="17"/>
        <v>not selected</v>
      </c>
      <c r="N233" t="str">
        <f t="shared" si="18"/>
        <v>not selected</v>
      </c>
      <c r="O233">
        <v>52.317880794701985</v>
      </c>
      <c r="P233">
        <v>32</v>
      </c>
      <c r="Q233">
        <v>240</v>
      </c>
      <c r="R233">
        <v>0</v>
      </c>
      <c r="S233">
        <v>5.3534946357896418</v>
      </c>
      <c r="T233" t="str">
        <f t="shared" si="19"/>
        <v>Less than 80%</v>
      </c>
      <c r="U233">
        <v>52.317880794701985</v>
      </c>
      <c r="V233">
        <v>32</v>
      </c>
      <c r="W233">
        <v>0</v>
      </c>
    </row>
    <row r="234" spans="1:23">
      <c r="A234">
        <v>227</v>
      </c>
      <c r="B234">
        <v>36</v>
      </c>
      <c r="C234">
        <v>11.04</v>
      </c>
      <c r="D234">
        <v>96500</v>
      </c>
      <c r="E234">
        <v>278000</v>
      </c>
      <c r="F234">
        <v>0</v>
      </c>
      <c r="G234" t="s">
        <v>15</v>
      </c>
      <c r="H234">
        <v>755000</v>
      </c>
      <c r="I234">
        <v>555000</v>
      </c>
      <c r="J234">
        <v>360</v>
      </c>
      <c r="K234" t="str">
        <f t="shared" si="15"/>
        <v>10-20</v>
      </c>
      <c r="L234" s="13">
        <f t="shared" si="16"/>
        <v>73.509933774834437</v>
      </c>
      <c r="M234" t="str">
        <f t="shared" si="17"/>
        <v>not selected</v>
      </c>
      <c r="N234" t="str">
        <f t="shared" si="18"/>
        <v>selected</v>
      </c>
      <c r="O234">
        <v>73.509933774834437</v>
      </c>
      <c r="P234">
        <v>37</v>
      </c>
      <c r="Q234">
        <v>360</v>
      </c>
      <c r="R234">
        <v>0</v>
      </c>
      <c r="S234">
        <v>5.6520770682510575</v>
      </c>
      <c r="T234" t="str">
        <f t="shared" si="19"/>
        <v>Less than 80%</v>
      </c>
      <c r="U234">
        <v>73.509933774834437</v>
      </c>
      <c r="V234">
        <v>37</v>
      </c>
      <c r="W234">
        <v>0</v>
      </c>
    </row>
    <row r="235" spans="1:23">
      <c r="A235">
        <v>228</v>
      </c>
      <c r="B235">
        <v>48</v>
      </c>
      <c r="C235">
        <v>13.61</v>
      </c>
      <c r="D235">
        <v>84800</v>
      </c>
      <c r="E235">
        <v>138000</v>
      </c>
      <c r="F235">
        <v>0</v>
      </c>
      <c r="G235" t="s">
        <v>15</v>
      </c>
      <c r="H235">
        <v>345000</v>
      </c>
      <c r="I235">
        <v>325000</v>
      </c>
      <c r="J235">
        <v>360</v>
      </c>
      <c r="K235" t="str">
        <f t="shared" si="15"/>
        <v>10-20</v>
      </c>
      <c r="L235" s="13">
        <f t="shared" si="16"/>
        <v>94.20289855072464</v>
      </c>
      <c r="M235" t="str">
        <f t="shared" si="17"/>
        <v>not selected</v>
      </c>
      <c r="N235" t="str">
        <f t="shared" si="18"/>
        <v>not selected</v>
      </c>
      <c r="O235">
        <v>94.20289855072464</v>
      </c>
      <c r="P235">
        <v>24</v>
      </c>
      <c r="Q235">
        <v>360</v>
      </c>
      <c r="R235">
        <v>0</v>
      </c>
      <c r="S235">
        <v>4.0936354402523509</v>
      </c>
      <c r="T235" t="str">
        <f t="shared" si="19"/>
        <v>More than 80%</v>
      </c>
      <c r="U235">
        <v>94.20289855072464</v>
      </c>
      <c r="V235">
        <v>24</v>
      </c>
      <c r="W235">
        <v>0</v>
      </c>
    </row>
    <row r="236" spans="1:23">
      <c r="A236">
        <v>229</v>
      </c>
      <c r="B236">
        <v>32</v>
      </c>
      <c r="C236">
        <v>52.39</v>
      </c>
      <c r="D236">
        <v>70800</v>
      </c>
      <c r="E236">
        <v>144000</v>
      </c>
      <c r="F236">
        <v>0</v>
      </c>
      <c r="G236" t="s">
        <v>15</v>
      </c>
      <c r="H236">
        <v>725000</v>
      </c>
      <c r="I236">
        <v>505000</v>
      </c>
      <c r="J236">
        <v>360</v>
      </c>
      <c r="K236" t="str">
        <f t="shared" si="15"/>
        <v>More than 50</v>
      </c>
      <c r="L236" s="13">
        <f t="shared" si="16"/>
        <v>69.655172413793096</v>
      </c>
      <c r="M236" t="str">
        <f t="shared" si="17"/>
        <v>not selected</v>
      </c>
      <c r="N236" t="str">
        <f t="shared" si="18"/>
        <v>not selected</v>
      </c>
      <c r="O236">
        <v>69.655172413793096</v>
      </c>
      <c r="P236">
        <v>26</v>
      </c>
      <c r="Q236">
        <v>360</v>
      </c>
      <c r="R236">
        <v>0</v>
      </c>
      <c r="S236">
        <v>4.2136187673007841</v>
      </c>
      <c r="T236" t="str">
        <f t="shared" si="19"/>
        <v>Less than 80%</v>
      </c>
      <c r="U236">
        <v>69.655172413793096</v>
      </c>
      <c r="V236">
        <v>26</v>
      </c>
      <c r="W236">
        <v>0</v>
      </c>
    </row>
    <row r="237" spans="1:23">
      <c r="A237">
        <v>230</v>
      </c>
      <c r="B237">
        <v>6</v>
      </c>
      <c r="C237">
        <v>86.84</v>
      </c>
      <c r="D237">
        <v>127900</v>
      </c>
      <c r="E237">
        <v>92000</v>
      </c>
      <c r="F237">
        <v>0</v>
      </c>
      <c r="G237" t="s">
        <v>15</v>
      </c>
      <c r="H237">
        <v>1005000</v>
      </c>
      <c r="I237">
        <v>515000</v>
      </c>
      <c r="J237">
        <v>360</v>
      </c>
      <c r="K237" t="str">
        <f t="shared" si="15"/>
        <v>More than 50</v>
      </c>
      <c r="L237" s="13">
        <f t="shared" si="16"/>
        <v>51.243781094527364</v>
      </c>
      <c r="M237" t="str">
        <f t="shared" si="17"/>
        <v>not selected</v>
      </c>
      <c r="N237" t="str">
        <f t="shared" si="18"/>
        <v>not selected</v>
      </c>
      <c r="O237">
        <v>51.243781094527364</v>
      </c>
      <c r="P237">
        <v>37</v>
      </c>
      <c r="Q237">
        <v>360</v>
      </c>
      <c r="R237">
        <v>0</v>
      </c>
      <c r="S237">
        <v>4.5192784608427861</v>
      </c>
      <c r="T237" t="str">
        <f t="shared" si="19"/>
        <v>Less than 80%</v>
      </c>
      <c r="U237">
        <v>51.243781094527364</v>
      </c>
      <c r="V237">
        <v>37</v>
      </c>
      <c r="W237">
        <v>0</v>
      </c>
    </row>
    <row r="238" spans="1:23">
      <c r="A238">
        <v>231</v>
      </c>
      <c r="B238">
        <v>34</v>
      </c>
      <c r="C238">
        <v>59.46</v>
      </c>
      <c r="D238">
        <v>96500</v>
      </c>
      <c r="E238">
        <v>306000</v>
      </c>
      <c r="F238">
        <v>0</v>
      </c>
      <c r="G238" t="s">
        <v>15</v>
      </c>
      <c r="H238">
        <v>605000</v>
      </c>
      <c r="I238">
        <v>395000</v>
      </c>
      <c r="J238">
        <v>180</v>
      </c>
      <c r="K238" t="str">
        <f t="shared" si="15"/>
        <v>More than 50</v>
      </c>
      <c r="L238" s="13">
        <f t="shared" si="16"/>
        <v>65.289256198347118</v>
      </c>
      <c r="M238" t="str">
        <f t="shared" si="17"/>
        <v>selected</v>
      </c>
      <c r="N238" t="str">
        <f t="shared" si="18"/>
        <v>selected</v>
      </c>
      <c r="O238">
        <v>65.289256198347118</v>
      </c>
      <c r="P238">
        <v>27</v>
      </c>
      <c r="Q238">
        <v>180</v>
      </c>
      <c r="R238">
        <v>0</v>
      </c>
      <c r="S238">
        <v>4.4541863849822425</v>
      </c>
      <c r="T238" t="str">
        <f t="shared" si="19"/>
        <v>Less than 80%</v>
      </c>
      <c r="U238">
        <v>65.289256198347118</v>
      </c>
      <c r="V238">
        <v>27</v>
      </c>
      <c r="W238">
        <v>0</v>
      </c>
    </row>
    <row r="239" spans="1:23">
      <c r="A239">
        <v>232</v>
      </c>
      <c r="B239">
        <v>6</v>
      </c>
      <c r="C239">
        <v>32.619999999999997</v>
      </c>
      <c r="D239">
        <v>127900</v>
      </c>
      <c r="E239">
        <v>328000</v>
      </c>
      <c r="F239">
        <v>0</v>
      </c>
      <c r="G239" t="s">
        <v>15</v>
      </c>
      <c r="H239">
        <v>1915000</v>
      </c>
      <c r="I239">
        <v>715000</v>
      </c>
      <c r="J239">
        <v>240</v>
      </c>
      <c r="K239" t="str">
        <f t="shared" si="15"/>
        <v>30-40</v>
      </c>
      <c r="L239" s="13">
        <f t="shared" si="16"/>
        <v>37.336814621409921</v>
      </c>
      <c r="M239" t="str">
        <f t="shared" si="17"/>
        <v>not selected</v>
      </c>
      <c r="N239" t="str">
        <f t="shared" si="18"/>
        <v>selected</v>
      </c>
      <c r="O239">
        <v>37.336814621409921</v>
      </c>
      <c r="P239">
        <v>23</v>
      </c>
      <c r="Q239">
        <v>240</v>
      </c>
      <c r="R239">
        <v>0</v>
      </c>
      <c r="S239">
        <v>4.6587134466208964</v>
      </c>
      <c r="T239" t="str">
        <f t="shared" si="19"/>
        <v>Less than 80%</v>
      </c>
      <c r="U239">
        <v>37.336814621409921</v>
      </c>
      <c r="V239">
        <v>23</v>
      </c>
      <c r="W239">
        <v>0</v>
      </c>
    </row>
    <row r="240" spans="1:23">
      <c r="A240">
        <v>233</v>
      </c>
      <c r="B240">
        <v>19</v>
      </c>
      <c r="C240">
        <v>4.1100000000000003</v>
      </c>
      <c r="D240">
        <v>104300</v>
      </c>
      <c r="E240">
        <v>143000</v>
      </c>
      <c r="F240">
        <v>0</v>
      </c>
      <c r="G240" t="s">
        <v>15</v>
      </c>
      <c r="H240">
        <v>335000</v>
      </c>
      <c r="I240">
        <v>195000</v>
      </c>
      <c r="J240">
        <v>180</v>
      </c>
      <c r="K240" t="str">
        <f t="shared" si="15"/>
        <v>0-10</v>
      </c>
      <c r="L240" s="13">
        <f t="shared" si="16"/>
        <v>58.208955223880601</v>
      </c>
      <c r="M240" t="str">
        <f t="shared" si="17"/>
        <v>selected</v>
      </c>
      <c r="N240" t="str">
        <f t="shared" si="18"/>
        <v>not selected</v>
      </c>
      <c r="O240">
        <v>58.208955223880601</v>
      </c>
      <c r="P240">
        <v>32</v>
      </c>
      <c r="Q240">
        <v>180</v>
      </c>
      <c r="R240">
        <v>0</v>
      </c>
      <c r="S240">
        <v>4.2024014166183736</v>
      </c>
      <c r="T240" t="str">
        <f t="shared" si="19"/>
        <v>Less than 80%</v>
      </c>
      <c r="U240">
        <v>58.208955223880601</v>
      </c>
      <c r="V240">
        <v>32</v>
      </c>
      <c r="W240">
        <v>0</v>
      </c>
    </row>
    <row r="241" spans="1:23">
      <c r="A241">
        <v>234</v>
      </c>
      <c r="B241">
        <v>55</v>
      </c>
      <c r="C241">
        <v>3.52</v>
      </c>
      <c r="D241">
        <v>76700</v>
      </c>
      <c r="E241">
        <v>94000</v>
      </c>
      <c r="F241">
        <v>0</v>
      </c>
      <c r="G241" t="s">
        <v>15</v>
      </c>
      <c r="H241">
        <v>345000</v>
      </c>
      <c r="I241">
        <v>215000</v>
      </c>
      <c r="J241">
        <v>180</v>
      </c>
      <c r="K241" t="str">
        <f t="shared" si="15"/>
        <v>0-10</v>
      </c>
      <c r="L241" s="13">
        <f t="shared" si="16"/>
        <v>62.318840579710141</v>
      </c>
      <c r="M241" t="str">
        <f t="shared" si="17"/>
        <v>selected</v>
      </c>
      <c r="N241" t="str">
        <f t="shared" si="18"/>
        <v>not selected</v>
      </c>
      <c r="O241">
        <v>62.318840579710141</v>
      </c>
      <c r="P241">
        <v>26</v>
      </c>
      <c r="Q241">
        <v>180</v>
      </c>
      <c r="R241">
        <v>0</v>
      </c>
      <c r="S241">
        <v>4.2613454833174211</v>
      </c>
      <c r="T241" t="str">
        <f t="shared" si="19"/>
        <v>Less than 80%</v>
      </c>
      <c r="U241">
        <v>62.318840579710141</v>
      </c>
      <c r="V241">
        <v>26</v>
      </c>
      <c r="W241">
        <v>0</v>
      </c>
    </row>
    <row r="242" spans="1:23">
      <c r="A242">
        <v>235</v>
      </c>
      <c r="B242">
        <v>48</v>
      </c>
      <c r="C242">
        <v>33.74</v>
      </c>
      <c r="D242">
        <v>97600</v>
      </c>
      <c r="E242">
        <v>86000</v>
      </c>
      <c r="F242">
        <v>0</v>
      </c>
      <c r="G242" t="s">
        <v>15</v>
      </c>
      <c r="H242">
        <v>535000</v>
      </c>
      <c r="I242">
        <v>275000</v>
      </c>
      <c r="J242">
        <v>180</v>
      </c>
      <c r="K242" t="str">
        <f t="shared" si="15"/>
        <v>30-40</v>
      </c>
      <c r="L242" s="13">
        <f t="shared" si="16"/>
        <v>51.401869158878498</v>
      </c>
      <c r="M242" t="str">
        <f t="shared" si="17"/>
        <v>selected</v>
      </c>
      <c r="N242" t="str">
        <f t="shared" si="18"/>
        <v>not selected</v>
      </c>
      <c r="O242">
        <v>51.401869158878498</v>
      </c>
      <c r="P242">
        <v>28</v>
      </c>
      <c r="Q242">
        <v>180</v>
      </c>
      <c r="R242">
        <v>0</v>
      </c>
      <c r="S242">
        <v>4.9852449119664737</v>
      </c>
      <c r="T242" t="str">
        <f t="shared" si="19"/>
        <v>Less than 80%</v>
      </c>
      <c r="U242">
        <v>51.401869158878498</v>
      </c>
      <c r="V242">
        <v>28</v>
      </c>
      <c r="W242">
        <v>0</v>
      </c>
    </row>
    <row r="243" spans="1:23">
      <c r="A243">
        <v>236</v>
      </c>
      <c r="B243">
        <v>47</v>
      </c>
      <c r="C243">
        <v>7.21</v>
      </c>
      <c r="D243">
        <v>80700</v>
      </c>
      <c r="E243">
        <v>251000</v>
      </c>
      <c r="F243">
        <v>0</v>
      </c>
      <c r="G243" t="s">
        <v>15</v>
      </c>
      <c r="H243">
        <v>1425000</v>
      </c>
      <c r="I243">
        <v>405000</v>
      </c>
      <c r="J243">
        <v>180</v>
      </c>
      <c r="K243" t="str">
        <f t="shared" si="15"/>
        <v>0-10</v>
      </c>
      <c r="L243" s="13">
        <f t="shared" si="16"/>
        <v>28.421052631578945</v>
      </c>
      <c r="M243" t="str">
        <f t="shared" si="17"/>
        <v>selected</v>
      </c>
      <c r="N243" t="str">
        <f t="shared" si="18"/>
        <v>selected</v>
      </c>
      <c r="O243">
        <v>28.421052631578945</v>
      </c>
      <c r="P243">
        <v>26</v>
      </c>
      <c r="Q243">
        <v>180</v>
      </c>
      <c r="R243">
        <v>0</v>
      </c>
      <c r="S243">
        <v>4.9123037032240378</v>
      </c>
      <c r="T243" t="str">
        <f t="shared" si="19"/>
        <v>Less than 80%</v>
      </c>
      <c r="U243">
        <v>28.421052631578945</v>
      </c>
      <c r="V243">
        <v>26</v>
      </c>
      <c r="W243">
        <v>0</v>
      </c>
    </row>
    <row r="244" spans="1:23">
      <c r="A244">
        <v>237</v>
      </c>
      <c r="B244">
        <v>39</v>
      </c>
      <c r="C244">
        <v>2.97</v>
      </c>
      <c r="D244">
        <v>65500</v>
      </c>
      <c r="E244">
        <v>156000</v>
      </c>
      <c r="F244">
        <v>0</v>
      </c>
      <c r="G244" t="s">
        <v>16</v>
      </c>
      <c r="H244">
        <v>455000</v>
      </c>
      <c r="I244">
        <v>315000</v>
      </c>
      <c r="J244">
        <v>360</v>
      </c>
      <c r="K244" t="str">
        <f t="shared" si="15"/>
        <v>0-10</v>
      </c>
      <c r="L244" s="13">
        <f t="shared" si="16"/>
        <v>69.230769230769226</v>
      </c>
      <c r="M244" t="str">
        <f t="shared" si="17"/>
        <v>not selected</v>
      </c>
      <c r="N244" t="str">
        <f t="shared" si="18"/>
        <v>not selected</v>
      </c>
      <c r="O244">
        <v>69.230769230769226</v>
      </c>
      <c r="P244">
        <v>27</v>
      </c>
      <c r="Q244">
        <v>360</v>
      </c>
      <c r="R244">
        <v>0</v>
      </c>
      <c r="S244">
        <v>4.8639383313455209</v>
      </c>
      <c r="T244" t="str">
        <f t="shared" si="19"/>
        <v>Less than 80%</v>
      </c>
      <c r="U244">
        <v>69.230769230769226</v>
      </c>
      <c r="V244">
        <v>27</v>
      </c>
      <c r="W244">
        <v>0</v>
      </c>
    </row>
    <row r="245" spans="1:23">
      <c r="A245">
        <v>238</v>
      </c>
      <c r="B245">
        <v>6</v>
      </c>
      <c r="C245">
        <v>66.11</v>
      </c>
      <c r="D245">
        <v>92700</v>
      </c>
      <c r="E245">
        <v>170000</v>
      </c>
      <c r="F245">
        <v>0</v>
      </c>
      <c r="G245" t="s">
        <v>16</v>
      </c>
      <c r="H245">
        <v>805000</v>
      </c>
      <c r="I245">
        <v>315000</v>
      </c>
      <c r="J245">
        <v>360</v>
      </c>
      <c r="K245" t="str">
        <f t="shared" si="15"/>
        <v>More than 50</v>
      </c>
      <c r="L245" s="13">
        <f t="shared" si="16"/>
        <v>39.130434782608695</v>
      </c>
      <c r="M245" t="str">
        <f t="shared" si="17"/>
        <v>not selected</v>
      </c>
      <c r="N245" t="str">
        <f t="shared" si="18"/>
        <v>not selected</v>
      </c>
      <c r="O245">
        <v>39.130434782608695</v>
      </c>
      <c r="P245">
        <v>38</v>
      </c>
      <c r="Q245">
        <v>360</v>
      </c>
      <c r="R245">
        <v>0</v>
      </c>
      <c r="S245">
        <v>5.3666218404496657</v>
      </c>
      <c r="T245" t="str">
        <f t="shared" si="19"/>
        <v>Less than 80%</v>
      </c>
      <c r="U245">
        <v>39.130434782608695</v>
      </c>
      <c r="V245">
        <v>38</v>
      </c>
      <c r="W245">
        <v>0</v>
      </c>
    </row>
    <row r="246" spans="1:23">
      <c r="A246">
        <v>239</v>
      </c>
      <c r="B246">
        <v>6</v>
      </c>
      <c r="C246">
        <v>68.739999999999995</v>
      </c>
      <c r="D246">
        <v>83300</v>
      </c>
      <c r="E246">
        <v>111000</v>
      </c>
      <c r="F246">
        <v>0</v>
      </c>
      <c r="G246" t="s">
        <v>16</v>
      </c>
      <c r="H246">
        <v>655000</v>
      </c>
      <c r="I246">
        <v>595000</v>
      </c>
      <c r="J246">
        <v>360</v>
      </c>
      <c r="K246" t="str">
        <f t="shared" si="15"/>
        <v>More than 50</v>
      </c>
      <c r="L246" s="13">
        <f t="shared" si="16"/>
        <v>90.839694656488547</v>
      </c>
      <c r="M246" t="str">
        <f t="shared" si="17"/>
        <v>not selected</v>
      </c>
      <c r="N246" t="str">
        <f t="shared" si="18"/>
        <v>not selected</v>
      </c>
      <c r="O246">
        <v>90.839694656488547</v>
      </c>
      <c r="P246">
        <v>33</v>
      </c>
      <c r="Q246">
        <v>360</v>
      </c>
      <c r="R246">
        <v>0</v>
      </c>
      <c r="S246">
        <v>5.2909895144421855</v>
      </c>
      <c r="T246" t="str">
        <f t="shared" si="19"/>
        <v>More than 80%</v>
      </c>
      <c r="U246">
        <v>90.839694656488547</v>
      </c>
      <c r="V246">
        <v>33</v>
      </c>
      <c r="W246">
        <v>0</v>
      </c>
    </row>
    <row r="247" spans="1:23">
      <c r="A247">
        <v>240</v>
      </c>
      <c r="B247">
        <v>21</v>
      </c>
      <c r="C247">
        <v>7.74</v>
      </c>
      <c r="D247">
        <v>76900</v>
      </c>
      <c r="E247">
        <v>298000</v>
      </c>
      <c r="F247">
        <v>0</v>
      </c>
      <c r="G247" t="s">
        <v>16</v>
      </c>
      <c r="H247">
        <v>585000</v>
      </c>
      <c r="I247">
        <v>495000</v>
      </c>
      <c r="J247">
        <v>360</v>
      </c>
      <c r="K247" t="str">
        <f t="shared" si="15"/>
        <v>0-10</v>
      </c>
      <c r="L247" s="13">
        <f t="shared" si="16"/>
        <v>84.615384615384613</v>
      </c>
      <c r="M247" t="str">
        <f t="shared" si="17"/>
        <v>not selected</v>
      </c>
      <c r="N247" t="str">
        <f t="shared" si="18"/>
        <v>not selected</v>
      </c>
      <c r="O247">
        <v>84.615384615384613</v>
      </c>
      <c r="P247">
        <v>28</v>
      </c>
      <c r="Q247">
        <v>360</v>
      </c>
      <c r="R247">
        <v>0</v>
      </c>
      <c r="S247">
        <v>5.0298631572716221</v>
      </c>
      <c r="T247" t="str">
        <f t="shared" si="19"/>
        <v>More than 80%</v>
      </c>
      <c r="U247">
        <v>84.615384615384613</v>
      </c>
      <c r="V247">
        <v>28</v>
      </c>
      <c r="W247">
        <v>0</v>
      </c>
    </row>
    <row r="248" spans="1:23">
      <c r="A248">
        <v>241</v>
      </c>
      <c r="B248">
        <v>12</v>
      </c>
      <c r="C248">
        <v>21.96</v>
      </c>
      <c r="D248">
        <v>69200</v>
      </c>
      <c r="E248">
        <v>55000</v>
      </c>
      <c r="F248">
        <v>1</v>
      </c>
      <c r="G248" t="s">
        <v>16</v>
      </c>
      <c r="H248">
        <v>205000</v>
      </c>
      <c r="I248">
        <v>195000</v>
      </c>
      <c r="J248">
        <v>360</v>
      </c>
      <c r="K248" t="str">
        <f t="shared" si="15"/>
        <v>20-30</v>
      </c>
      <c r="L248" s="13">
        <f t="shared" si="16"/>
        <v>95.121951219512198</v>
      </c>
      <c r="M248" t="str">
        <f t="shared" si="17"/>
        <v>not selected</v>
      </c>
      <c r="N248" t="str">
        <f t="shared" si="18"/>
        <v>not selected</v>
      </c>
      <c r="O248">
        <v>95.121951219512198</v>
      </c>
      <c r="P248">
        <v>28</v>
      </c>
      <c r="Q248">
        <v>360</v>
      </c>
      <c r="R248">
        <v>1</v>
      </c>
      <c r="S248">
        <v>4.4005168215959989</v>
      </c>
      <c r="T248" t="str">
        <f t="shared" si="19"/>
        <v>More than 80%</v>
      </c>
      <c r="U248">
        <v>95.121951219512198</v>
      </c>
      <c r="V248">
        <v>28</v>
      </c>
      <c r="W248">
        <v>1</v>
      </c>
    </row>
    <row r="249" spans="1:23">
      <c r="A249">
        <v>242</v>
      </c>
      <c r="B249">
        <v>16</v>
      </c>
      <c r="C249">
        <v>18.02</v>
      </c>
      <c r="D249">
        <v>78400</v>
      </c>
      <c r="E249">
        <v>157000</v>
      </c>
      <c r="F249">
        <v>0</v>
      </c>
      <c r="G249" t="s">
        <v>16</v>
      </c>
      <c r="H249">
        <v>625000</v>
      </c>
      <c r="I249">
        <v>525000</v>
      </c>
      <c r="J249">
        <v>360</v>
      </c>
      <c r="K249" t="str">
        <f t="shared" si="15"/>
        <v>10-20</v>
      </c>
      <c r="L249" s="13">
        <f t="shared" si="16"/>
        <v>84</v>
      </c>
      <c r="M249" t="str">
        <f t="shared" si="17"/>
        <v>not selected</v>
      </c>
      <c r="N249" t="str">
        <f t="shared" si="18"/>
        <v>not selected</v>
      </c>
      <c r="O249">
        <v>84</v>
      </c>
      <c r="P249">
        <v>26</v>
      </c>
      <c r="Q249">
        <v>360</v>
      </c>
      <c r="R249">
        <v>0</v>
      </c>
      <c r="S249">
        <v>5.0232856732412561</v>
      </c>
      <c r="T249" t="str">
        <f t="shared" si="19"/>
        <v>More than 80%</v>
      </c>
      <c r="U249">
        <v>84</v>
      </c>
      <c r="V249">
        <v>26</v>
      </c>
      <c r="W249">
        <v>0</v>
      </c>
    </row>
    <row r="250" spans="1:23">
      <c r="A250">
        <v>243</v>
      </c>
      <c r="B250">
        <v>34</v>
      </c>
      <c r="C250">
        <v>16.77</v>
      </c>
      <c r="D250">
        <v>96500</v>
      </c>
      <c r="E250">
        <v>278000</v>
      </c>
      <c r="F250">
        <v>0</v>
      </c>
      <c r="G250" t="s">
        <v>16</v>
      </c>
      <c r="H250">
        <v>885000</v>
      </c>
      <c r="I250">
        <v>605000</v>
      </c>
      <c r="J250">
        <v>360</v>
      </c>
      <c r="K250" t="str">
        <f t="shared" si="15"/>
        <v>10-20</v>
      </c>
      <c r="L250" s="13">
        <f t="shared" si="16"/>
        <v>68.361581920903959</v>
      </c>
      <c r="M250" t="str">
        <f t="shared" si="17"/>
        <v>not selected</v>
      </c>
      <c r="N250" t="str">
        <f t="shared" si="18"/>
        <v>selected</v>
      </c>
      <c r="O250">
        <v>68.361581920903959</v>
      </c>
      <c r="P250">
        <v>28</v>
      </c>
      <c r="Q250">
        <v>360</v>
      </c>
      <c r="R250">
        <v>0</v>
      </c>
      <c r="S250">
        <v>5.5335916749309355</v>
      </c>
      <c r="T250" t="str">
        <f t="shared" si="19"/>
        <v>Less than 80%</v>
      </c>
      <c r="U250">
        <v>68.361581920903959</v>
      </c>
      <c r="V250">
        <v>28</v>
      </c>
      <c r="W250">
        <v>0</v>
      </c>
    </row>
    <row r="251" spans="1:23">
      <c r="A251">
        <v>244</v>
      </c>
      <c r="B251">
        <v>18</v>
      </c>
      <c r="C251">
        <v>6.18</v>
      </c>
      <c r="D251">
        <v>71800</v>
      </c>
      <c r="E251">
        <v>60000</v>
      </c>
      <c r="F251">
        <v>0</v>
      </c>
      <c r="G251" t="s">
        <v>16</v>
      </c>
      <c r="H251">
        <v>305000</v>
      </c>
      <c r="I251">
        <v>215000</v>
      </c>
      <c r="J251">
        <v>360</v>
      </c>
      <c r="K251" t="str">
        <f t="shared" si="15"/>
        <v>0-10</v>
      </c>
      <c r="L251" s="13">
        <f t="shared" si="16"/>
        <v>70.491803278688522</v>
      </c>
      <c r="M251" t="str">
        <f t="shared" si="17"/>
        <v>not selected</v>
      </c>
      <c r="N251" t="str">
        <f t="shared" si="18"/>
        <v>not selected</v>
      </c>
      <c r="O251">
        <v>70.491803278688522</v>
      </c>
      <c r="P251">
        <v>27</v>
      </c>
      <c r="Q251">
        <v>360</v>
      </c>
      <c r="R251">
        <v>0</v>
      </c>
      <c r="S251">
        <v>5.1949497836792986</v>
      </c>
      <c r="T251" t="str">
        <f t="shared" si="19"/>
        <v>Less than 80%</v>
      </c>
      <c r="U251">
        <v>70.491803278688522</v>
      </c>
      <c r="V251">
        <v>27</v>
      </c>
      <c r="W251">
        <v>0</v>
      </c>
    </row>
    <row r="252" spans="1:23">
      <c r="A252">
        <v>245</v>
      </c>
      <c r="B252">
        <v>27</v>
      </c>
      <c r="C252">
        <v>6.42</v>
      </c>
      <c r="D252">
        <v>102800</v>
      </c>
      <c r="E252">
        <v>69000</v>
      </c>
      <c r="F252">
        <v>0</v>
      </c>
      <c r="G252" t="s">
        <v>16</v>
      </c>
      <c r="H252">
        <v>335000</v>
      </c>
      <c r="I252">
        <v>245000</v>
      </c>
      <c r="J252">
        <v>360</v>
      </c>
      <c r="K252" t="str">
        <f t="shared" si="15"/>
        <v>0-10</v>
      </c>
      <c r="L252" s="13">
        <f t="shared" si="16"/>
        <v>73.134328358208961</v>
      </c>
      <c r="M252" t="str">
        <f t="shared" si="17"/>
        <v>not selected</v>
      </c>
      <c r="N252" t="str">
        <f t="shared" si="18"/>
        <v>not selected</v>
      </c>
      <c r="O252">
        <v>73.134328358208961</v>
      </c>
      <c r="P252">
        <v>33</v>
      </c>
      <c r="Q252">
        <v>360</v>
      </c>
      <c r="R252">
        <v>0</v>
      </c>
      <c r="S252">
        <v>3.8564061515345323</v>
      </c>
      <c r="T252" t="str">
        <f t="shared" si="19"/>
        <v>Less than 80%</v>
      </c>
      <c r="U252">
        <v>73.134328358208961</v>
      </c>
      <c r="V252">
        <v>33</v>
      </c>
      <c r="W252">
        <v>0</v>
      </c>
    </row>
    <row r="253" spans="1:23">
      <c r="A253">
        <v>246</v>
      </c>
      <c r="B253">
        <v>6</v>
      </c>
      <c r="C253">
        <v>59.82</v>
      </c>
      <c r="D253">
        <v>86700</v>
      </c>
      <c r="E253">
        <v>85000</v>
      </c>
      <c r="F253">
        <v>0</v>
      </c>
      <c r="G253" t="s">
        <v>16</v>
      </c>
      <c r="H253">
        <v>445000</v>
      </c>
      <c r="I253">
        <v>385000</v>
      </c>
      <c r="J253">
        <v>360</v>
      </c>
      <c r="K253" t="str">
        <f t="shared" si="15"/>
        <v>More than 50</v>
      </c>
      <c r="L253" s="13">
        <f t="shared" si="16"/>
        <v>86.516853932584269</v>
      </c>
      <c r="M253" t="str">
        <f t="shared" si="17"/>
        <v>not selected</v>
      </c>
      <c r="N253" t="str">
        <f t="shared" si="18"/>
        <v>not selected</v>
      </c>
      <c r="O253">
        <v>86.516853932584269</v>
      </c>
      <c r="P253">
        <v>20</v>
      </c>
      <c r="Q253">
        <v>360</v>
      </c>
      <c r="R253">
        <v>0</v>
      </c>
      <c r="S253">
        <v>3.8705814325126591</v>
      </c>
      <c r="T253" t="str">
        <f t="shared" si="19"/>
        <v>More than 80%</v>
      </c>
      <c r="U253">
        <v>86.516853932584269</v>
      </c>
      <c r="V253">
        <v>20</v>
      </c>
      <c r="W253">
        <v>0</v>
      </c>
    </row>
    <row r="254" spans="1:23">
      <c r="A254">
        <v>247</v>
      </c>
      <c r="B254">
        <v>39</v>
      </c>
      <c r="C254">
        <v>7.84</v>
      </c>
      <c r="D254">
        <v>84600</v>
      </c>
      <c r="E254">
        <v>75000</v>
      </c>
      <c r="F254">
        <v>0</v>
      </c>
      <c r="G254" t="s">
        <v>16</v>
      </c>
      <c r="H254">
        <v>265000</v>
      </c>
      <c r="I254">
        <v>175000</v>
      </c>
      <c r="J254">
        <v>360</v>
      </c>
      <c r="K254" t="str">
        <f t="shared" si="15"/>
        <v>0-10</v>
      </c>
      <c r="L254" s="13">
        <f t="shared" si="16"/>
        <v>66.037735849056602</v>
      </c>
      <c r="M254" t="str">
        <f t="shared" si="17"/>
        <v>not selected</v>
      </c>
      <c r="N254" t="str">
        <f t="shared" si="18"/>
        <v>not selected</v>
      </c>
      <c r="O254">
        <v>66.037735849056602</v>
      </c>
      <c r="P254">
        <v>26</v>
      </c>
      <c r="Q254">
        <v>360</v>
      </c>
      <c r="R254">
        <v>0</v>
      </c>
      <c r="S254">
        <v>4.4380690895776276</v>
      </c>
      <c r="T254" t="str">
        <f t="shared" si="19"/>
        <v>Less than 80%</v>
      </c>
      <c r="U254">
        <v>66.037735849056602</v>
      </c>
      <c r="V254">
        <v>26</v>
      </c>
      <c r="W254">
        <v>0</v>
      </c>
    </row>
    <row r="255" spans="1:23">
      <c r="A255">
        <v>248</v>
      </c>
      <c r="B255">
        <v>25</v>
      </c>
      <c r="C255">
        <v>18.61</v>
      </c>
      <c r="D255">
        <v>114000</v>
      </c>
      <c r="E255">
        <v>190000</v>
      </c>
      <c r="F255">
        <v>0</v>
      </c>
      <c r="G255" t="s">
        <v>16</v>
      </c>
      <c r="H255">
        <v>435000</v>
      </c>
      <c r="I255">
        <v>345000</v>
      </c>
      <c r="J255">
        <v>180</v>
      </c>
      <c r="K255" t="str">
        <f t="shared" si="15"/>
        <v>10-20</v>
      </c>
      <c r="L255" s="13">
        <f t="shared" si="16"/>
        <v>79.310344827586206</v>
      </c>
      <c r="M255" t="str">
        <f t="shared" si="17"/>
        <v>selected</v>
      </c>
      <c r="N255" t="str">
        <f t="shared" si="18"/>
        <v>not selected</v>
      </c>
      <c r="O255">
        <v>79.310344827586206</v>
      </c>
      <c r="P255">
        <v>33</v>
      </c>
      <c r="Q255">
        <v>180</v>
      </c>
      <c r="R255">
        <v>0</v>
      </c>
      <c r="S255">
        <v>3.9091816936524895</v>
      </c>
      <c r="T255" t="str">
        <f t="shared" si="19"/>
        <v>Less than 80%</v>
      </c>
      <c r="U255">
        <v>79.310344827586206</v>
      </c>
      <c r="V255">
        <v>33</v>
      </c>
      <c r="W255">
        <v>0</v>
      </c>
    </row>
    <row r="256" spans="1:23">
      <c r="A256">
        <v>249</v>
      </c>
      <c r="B256">
        <v>51</v>
      </c>
      <c r="C256">
        <v>39.590000000000003</v>
      </c>
      <c r="D256">
        <v>124900</v>
      </c>
      <c r="E256">
        <v>76000</v>
      </c>
      <c r="F256">
        <v>0</v>
      </c>
      <c r="G256" t="s">
        <v>16</v>
      </c>
      <c r="H256">
        <v>265000</v>
      </c>
      <c r="I256">
        <v>245000</v>
      </c>
      <c r="J256">
        <v>360</v>
      </c>
      <c r="K256" t="str">
        <f t="shared" si="15"/>
        <v>30-40</v>
      </c>
      <c r="L256" s="13">
        <f t="shared" si="16"/>
        <v>92.452830188679243</v>
      </c>
      <c r="M256" t="str">
        <f t="shared" si="17"/>
        <v>not selected</v>
      </c>
      <c r="N256" t="str">
        <f t="shared" si="18"/>
        <v>not selected</v>
      </c>
      <c r="O256">
        <v>92.452830188679243</v>
      </c>
      <c r="P256">
        <v>12</v>
      </c>
      <c r="Q256">
        <v>360</v>
      </c>
      <c r="R256">
        <v>0</v>
      </c>
      <c r="S256">
        <v>4.77367384310101</v>
      </c>
      <c r="T256" t="str">
        <f t="shared" si="19"/>
        <v>More than 80%</v>
      </c>
      <c r="U256">
        <v>92.452830188679243</v>
      </c>
      <c r="V256">
        <v>12</v>
      </c>
      <c r="W256">
        <v>0</v>
      </c>
    </row>
    <row r="257" spans="1:23">
      <c r="A257">
        <v>250</v>
      </c>
      <c r="B257">
        <v>12</v>
      </c>
      <c r="C257">
        <v>25.71</v>
      </c>
      <c r="D257">
        <v>68300</v>
      </c>
      <c r="E257">
        <v>256000</v>
      </c>
      <c r="F257">
        <v>0</v>
      </c>
      <c r="G257" t="s">
        <v>16</v>
      </c>
      <c r="H257">
        <v>785000</v>
      </c>
      <c r="I257">
        <v>195000</v>
      </c>
      <c r="J257">
        <v>120</v>
      </c>
      <c r="K257" t="str">
        <f t="shared" si="15"/>
        <v>20-30</v>
      </c>
      <c r="L257" s="13">
        <f t="shared" si="16"/>
        <v>24.840764331210192</v>
      </c>
      <c r="M257" t="str">
        <f t="shared" si="17"/>
        <v>selected</v>
      </c>
      <c r="N257" t="str">
        <f t="shared" si="18"/>
        <v>selected</v>
      </c>
      <c r="O257">
        <v>24.840764331210192</v>
      </c>
      <c r="P257">
        <v>26</v>
      </c>
      <c r="Q257">
        <v>120</v>
      </c>
      <c r="R257">
        <v>0</v>
      </c>
      <c r="S257">
        <v>3.4852621070030878</v>
      </c>
      <c r="T257" t="str">
        <f t="shared" si="19"/>
        <v>Less than 80%</v>
      </c>
      <c r="U257">
        <v>24.840764331210192</v>
      </c>
      <c r="V257">
        <v>26</v>
      </c>
      <c r="W257">
        <v>0</v>
      </c>
    </row>
    <row r="258" spans="1:23">
      <c r="A258">
        <v>251</v>
      </c>
      <c r="B258">
        <v>13</v>
      </c>
      <c r="C258">
        <v>40.43</v>
      </c>
      <c r="D258">
        <v>82200</v>
      </c>
      <c r="E258">
        <v>115000</v>
      </c>
      <c r="F258">
        <v>0</v>
      </c>
      <c r="G258" t="s">
        <v>16</v>
      </c>
      <c r="H258">
        <v>305000</v>
      </c>
      <c r="I258">
        <v>165000</v>
      </c>
      <c r="J258">
        <v>180</v>
      </c>
      <c r="K258" t="str">
        <f t="shared" si="15"/>
        <v>40-50</v>
      </c>
      <c r="L258" s="13">
        <f t="shared" si="16"/>
        <v>54.098360655737707</v>
      </c>
      <c r="M258" t="str">
        <f t="shared" si="17"/>
        <v>selected</v>
      </c>
      <c r="N258" t="str">
        <f t="shared" si="18"/>
        <v>not selected</v>
      </c>
      <c r="O258">
        <v>54.098360655737707</v>
      </c>
      <c r="P258">
        <v>28</v>
      </c>
      <c r="Q258">
        <v>180</v>
      </c>
      <c r="R258">
        <v>0</v>
      </c>
      <c r="S258">
        <v>4.4274943582149948</v>
      </c>
      <c r="T258" t="str">
        <f t="shared" si="19"/>
        <v>Less than 80%</v>
      </c>
      <c r="U258">
        <v>54.098360655737707</v>
      </c>
      <c r="V258">
        <v>28</v>
      </c>
      <c r="W258">
        <v>0</v>
      </c>
    </row>
    <row r="259" spans="1:23">
      <c r="A259">
        <v>252</v>
      </c>
      <c r="B259">
        <v>42</v>
      </c>
      <c r="C259">
        <v>1.49</v>
      </c>
      <c r="D259">
        <v>69800</v>
      </c>
      <c r="E259">
        <v>68000</v>
      </c>
      <c r="F259">
        <v>0</v>
      </c>
      <c r="G259" t="s">
        <v>16</v>
      </c>
      <c r="H259">
        <v>365000</v>
      </c>
      <c r="I259">
        <v>255000</v>
      </c>
      <c r="J259">
        <v>360</v>
      </c>
      <c r="K259" t="str">
        <f t="shared" si="15"/>
        <v>0-10</v>
      </c>
      <c r="L259" s="13">
        <f t="shared" si="16"/>
        <v>69.863013698630141</v>
      </c>
      <c r="M259" t="str">
        <f t="shared" si="17"/>
        <v>not selected</v>
      </c>
      <c r="N259" t="str">
        <f t="shared" si="18"/>
        <v>not selected</v>
      </c>
      <c r="O259">
        <v>69.863013698630141</v>
      </c>
      <c r="P259">
        <v>30</v>
      </c>
      <c r="Q259">
        <v>360</v>
      </c>
      <c r="R259">
        <v>0</v>
      </c>
      <c r="S259">
        <v>3.8846614055761819</v>
      </c>
      <c r="T259" t="str">
        <f t="shared" si="19"/>
        <v>Less than 80%</v>
      </c>
      <c r="U259">
        <v>69.863013698630141</v>
      </c>
      <c r="V259">
        <v>30</v>
      </c>
      <c r="W259">
        <v>0</v>
      </c>
    </row>
    <row r="260" spans="1:23">
      <c r="A260">
        <v>253</v>
      </c>
      <c r="B260">
        <v>29</v>
      </c>
      <c r="C260">
        <v>19.68</v>
      </c>
      <c r="D260">
        <v>82600</v>
      </c>
      <c r="E260">
        <v>201000</v>
      </c>
      <c r="F260">
        <v>0</v>
      </c>
      <c r="G260" t="s">
        <v>16</v>
      </c>
      <c r="H260">
        <v>535000</v>
      </c>
      <c r="I260">
        <v>425000</v>
      </c>
      <c r="J260">
        <v>360</v>
      </c>
      <c r="K260" t="str">
        <f t="shared" si="15"/>
        <v>10-20</v>
      </c>
      <c r="L260" s="13">
        <f t="shared" si="16"/>
        <v>79.43925233644859</v>
      </c>
      <c r="M260" t="str">
        <f t="shared" si="17"/>
        <v>not selected</v>
      </c>
      <c r="N260" t="str">
        <f t="shared" si="18"/>
        <v>not selected</v>
      </c>
      <c r="O260">
        <v>79.43925233644859</v>
      </c>
      <c r="P260">
        <v>38</v>
      </c>
      <c r="Q260">
        <v>360</v>
      </c>
      <c r="R260">
        <v>0</v>
      </c>
      <c r="S260">
        <v>4.354516566636379</v>
      </c>
      <c r="T260" t="str">
        <f t="shared" si="19"/>
        <v>Less than 80%</v>
      </c>
      <c r="U260">
        <v>79.43925233644859</v>
      </c>
      <c r="V260">
        <v>38</v>
      </c>
      <c r="W260">
        <v>0</v>
      </c>
    </row>
    <row r="261" spans="1:23">
      <c r="A261">
        <v>254</v>
      </c>
      <c r="B261">
        <v>41</v>
      </c>
      <c r="C261">
        <v>34.26</v>
      </c>
      <c r="D261">
        <v>92100</v>
      </c>
      <c r="E261">
        <v>88000</v>
      </c>
      <c r="F261">
        <v>0</v>
      </c>
      <c r="G261" t="s">
        <v>16</v>
      </c>
      <c r="H261">
        <v>435000</v>
      </c>
      <c r="I261">
        <v>395000</v>
      </c>
      <c r="J261">
        <v>360</v>
      </c>
      <c r="K261" t="str">
        <f t="shared" si="15"/>
        <v>30-40</v>
      </c>
      <c r="L261" s="13">
        <f t="shared" si="16"/>
        <v>90.804597701149419</v>
      </c>
      <c r="M261" t="str">
        <f t="shared" si="17"/>
        <v>not selected</v>
      </c>
      <c r="N261" t="str">
        <f t="shared" si="18"/>
        <v>not selected</v>
      </c>
      <c r="O261">
        <v>90.804597701149419</v>
      </c>
      <c r="P261">
        <v>35</v>
      </c>
      <c r="Q261">
        <v>360</v>
      </c>
      <c r="R261">
        <v>0</v>
      </c>
      <c r="S261">
        <v>4.1472293964322358</v>
      </c>
      <c r="T261" t="str">
        <f t="shared" si="19"/>
        <v>More than 80%</v>
      </c>
      <c r="U261">
        <v>90.804597701149419</v>
      </c>
      <c r="V261">
        <v>35</v>
      </c>
      <c r="W261">
        <v>0</v>
      </c>
    </row>
    <row r="262" spans="1:23">
      <c r="A262">
        <v>255</v>
      </c>
      <c r="B262">
        <v>17</v>
      </c>
      <c r="C262">
        <v>9.76</v>
      </c>
      <c r="D262">
        <v>75400</v>
      </c>
      <c r="E262">
        <v>110000</v>
      </c>
      <c r="F262">
        <v>0</v>
      </c>
      <c r="G262" t="s">
        <v>16</v>
      </c>
      <c r="H262">
        <v>405000</v>
      </c>
      <c r="I262">
        <v>325000</v>
      </c>
      <c r="J262">
        <v>360</v>
      </c>
      <c r="K262" t="str">
        <f t="shared" si="15"/>
        <v>0-10</v>
      </c>
      <c r="L262" s="13">
        <f t="shared" si="16"/>
        <v>80.246913580246911</v>
      </c>
      <c r="M262" t="str">
        <f t="shared" si="17"/>
        <v>not selected</v>
      </c>
      <c r="N262" t="str">
        <f t="shared" si="18"/>
        <v>not selected</v>
      </c>
      <c r="O262">
        <v>80.246913580246911</v>
      </c>
      <c r="P262">
        <v>38</v>
      </c>
      <c r="Q262">
        <v>360</v>
      </c>
      <c r="R262">
        <v>0</v>
      </c>
      <c r="S262">
        <v>4.4014148230433952</v>
      </c>
      <c r="T262" t="str">
        <f t="shared" si="19"/>
        <v>More than 80%</v>
      </c>
      <c r="U262">
        <v>80.246913580246911</v>
      </c>
      <c r="V262">
        <v>38</v>
      </c>
      <c r="W262">
        <v>0</v>
      </c>
    </row>
    <row r="263" spans="1:23">
      <c r="A263">
        <v>256</v>
      </c>
      <c r="B263">
        <v>13</v>
      </c>
      <c r="C263">
        <v>59.83</v>
      </c>
      <c r="D263">
        <v>82200</v>
      </c>
      <c r="E263">
        <v>87000</v>
      </c>
      <c r="F263">
        <v>0</v>
      </c>
      <c r="G263" t="s">
        <v>16</v>
      </c>
      <c r="H263">
        <v>355000</v>
      </c>
      <c r="I263">
        <v>225000</v>
      </c>
      <c r="J263">
        <v>180</v>
      </c>
      <c r="K263" t="str">
        <f t="shared" si="15"/>
        <v>More than 50</v>
      </c>
      <c r="L263" s="13">
        <f t="shared" si="16"/>
        <v>63.380281690140848</v>
      </c>
      <c r="M263" t="str">
        <f t="shared" si="17"/>
        <v>selected</v>
      </c>
      <c r="N263" t="str">
        <f t="shared" si="18"/>
        <v>not selected</v>
      </c>
      <c r="O263">
        <v>63.380281690140848</v>
      </c>
      <c r="P263">
        <v>29</v>
      </c>
      <c r="Q263">
        <v>180</v>
      </c>
      <c r="R263">
        <v>0</v>
      </c>
      <c r="S263">
        <v>5.1428229802768826</v>
      </c>
      <c r="T263" t="str">
        <f t="shared" si="19"/>
        <v>Less than 80%</v>
      </c>
      <c r="U263">
        <v>63.380281690140848</v>
      </c>
      <c r="V263">
        <v>29</v>
      </c>
      <c r="W263">
        <v>0</v>
      </c>
    </row>
    <row r="264" spans="1:23">
      <c r="A264">
        <v>257</v>
      </c>
      <c r="B264">
        <v>1</v>
      </c>
      <c r="C264">
        <v>10.39</v>
      </c>
      <c r="D264">
        <v>81000</v>
      </c>
      <c r="E264">
        <v>88000</v>
      </c>
      <c r="F264">
        <v>0</v>
      </c>
      <c r="G264" t="s">
        <v>16</v>
      </c>
      <c r="H264">
        <v>675000</v>
      </c>
      <c r="I264">
        <v>485000</v>
      </c>
      <c r="J264">
        <v>360</v>
      </c>
      <c r="K264" t="str">
        <f t="shared" ref="K264:K327" si="20">IF(C264&gt;=50,"More than 50",IF(C264&gt;=40,"40-50",IF(C264&gt;=30,"30-40",IF(C264&gt;=20,"20-30",IF(C264&gt;=10,"10-20","0-10")))))</f>
        <v>10-20</v>
      </c>
      <c r="L264" s="13">
        <f t="shared" ref="L264:L327" si="21">(I264/H264)*100</f>
        <v>71.851851851851862</v>
      </c>
      <c r="M264" t="str">
        <f t="shared" si="17"/>
        <v>not selected</v>
      </c>
      <c r="N264" t="str">
        <f t="shared" si="18"/>
        <v>not selected</v>
      </c>
      <c r="O264">
        <v>71.851851851851862</v>
      </c>
      <c r="P264">
        <v>31</v>
      </c>
      <c r="Q264">
        <v>360</v>
      </c>
      <c r="R264">
        <v>0</v>
      </c>
      <c r="S264">
        <v>4.2538900559852362</v>
      </c>
      <c r="T264" t="str">
        <f t="shared" si="19"/>
        <v>Less than 80%</v>
      </c>
      <c r="U264">
        <v>71.851851851851862</v>
      </c>
      <c r="V264">
        <v>31</v>
      </c>
      <c r="W264">
        <v>0</v>
      </c>
    </row>
    <row r="265" spans="1:23">
      <c r="A265">
        <v>258</v>
      </c>
      <c r="B265">
        <v>29</v>
      </c>
      <c r="C265">
        <v>10.54</v>
      </c>
      <c r="D265">
        <v>63300</v>
      </c>
      <c r="E265">
        <v>52000</v>
      </c>
      <c r="F265">
        <v>0</v>
      </c>
      <c r="G265" t="s">
        <v>16</v>
      </c>
      <c r="H265">
        <v>155000</v>
      </c>
      <c r="I265">
        <v>135000</v>
      </c>
      <c r="J265">
        <v>360</v>
      </c>
      <c r="K265" t="str">
        <f t="shared" si="20"/>
        <v>10-20</v>
      </c>
      <c r="L265" s="13">
        <f t="shared" si="21"/>
        <v>87.096774193548384</v>
      </c>
      <c r="M265" t="str">
        <f t="shared" ref="M265:M328" si="22">IF(AND(L265&lt;=80,J265&lt;=180),"selected","not selected")</f>
        <v>not selected</v>
      </c>
      <c r="N265" t="str">
        <f t="shared" ref="N265:N328" si="23">IF(AND(L265&lt;=80,E265&gt;=222400),"selected","not selected")</f>
        <v>not selected</v>
      </c>
      <c r="O265">
        <v>87.096774193548384</v>
      </c>
      <c r="P265">
        <v>40</v>
      </c>
      <c r="Q265">
        <v>360</v>
      </c>
      <c r="R265">
        <v>0</v>
      </c>
      <c r="S265">
        <v>5.8850379283652483</v>
      </c>
      <c r="T265" t="str">
        <f t="shared" ref="T265:T328" si="24">IF(L265&gt;=80,"More than 80%","Less than 80%")</f>
        <v>More than 80%</v>
      </c>
      <c r="U265">
        <v>87.096774193548384</v>
      </c>
      <c r="V265">
        <v>40</v>
      </c>
      <c r="W265">
        <v>0</v>
      </c>
    </row>
    <row r="266" spans="1:23">
      <c r="A266">
        <v>259</v>
      </c>
      <c r="B266">
        <v>39</v>
      </c>
      <c r="C266">
        <v>2.5499999999999998</v>
      </c>
      <c r="D266">
        <v>85200</v>
      </c>
      <c r="E266">
        <v>18000</v>
      </c>
      <c r="F266">
        <v>0</v>
      </c>
      <c r="G266" t="s">
        <v>16</v>
      </c>
      <c r="H266">
        <v>405000</v>
      </c>
      <c r="I266">
        <v>45000</v>
      </c>
      <c r="J266">
        <v>240</v>
      </c>
      <c r="K266" t="str">
        <f t="shared" si="20"/>
        <v>0-10</v>
      </c>
      <c r="L266" s="13">
        <f t="shared" si="21"/>
        <v>11.111111111111111</v>
      </c>
      <c r="M266" t="str">
        <f t="shared" si="22"/>
        <v>not selected</v>
      </c>
      <c r="N266" t="str">
        <f t="shared" si="23"/>
        <v>not selected</v>
      </c>
      <c r="O266">
        <v>11.111111111111111</v>
      </c>
      <c r="P266">
        <v>40</v>
      </c>
      <c r="Q266">
        <v>240</v>
      </c>
      <c r="R266">
        <v>0</v>
      </c>
      <c r="S266">
        <v>3.344612209106014</v>
      </c>
      <c r="T266" t="str">
        <f t="shared" si="24"/>
        <v>Less than 80%</v>
      </c>
      <c r="U266">
        <v>11.111111111111111</v>
      </c>
      <c r="V266">
        <v>40</v>
      </c>
      <c r="W266">
        <v>0</v>
      </c>
    </row>
    <row r="267" spans="1:23">
      <c r="A267">
        <v>260</v>
      </c>
      <c r="B267">
        <v>13</v>
      </c>
      <c r="C267">
        <v>18.63</v>
      </c>
      <c r="D267">
        <v>82200</v>
      </c>
      <c r="E267">
        <v>82000</v>
      </c>
      <c r="F267">
        <v>0</v>
      </c>
      <c r="G267" t="s">
        <v>16</v>
      </c>
      <c r="H267">
        <v>255000</v>
      </c>
      <c r="I267">
        <v>205000</v>
      </c>
      <c r="J267">
        <v>360</v>
      </c>
      <c r="K267" t="str">
        <f t="shared" si="20"/>
        <v>10-20</v>
      </c>
      <c r="L267" s="13">
        <f t="shared" si="21"/>
        <v>80.392156862745097</v>
      </c>
      <c r="M267" t="str">
        <f t="shared" si="22"/>
        <v>not selected</v>
      </c>
      <c r="N267" t="str">
        <f t="shared" si="23"/>
        <v>not selected</v>
      </c>
      <c r="O267">
        <v>80.392156862745097</v>
      </c>
      <c r="P267">
        <v>31</v>
      </c>
      <c r="Q267">
        <v>360</v>
      </c>
      <c r="R267">
        <v>0</v>
      </c>
      <c r="S267">
        <v>4.5991750464084991</v>
      </c>
      <c r="T267" t="str">
        <f t="shared" si="24"/>
        <v>More than 80%</v>
      </c>
      <c r="U267">
        <v>80.392156862745097</v>
      </c>
      <c r="V267">
        <v>31</v>
      </c>
      <c r="W267">
        <v>0</v>
      </c>
    </row>
    <row r="268" spans="1:23">
      <c r="A268">
        <v>261</v>
      </c>
      <c r="B268">
        <v>55</v>
      </c>
      <c r="C268">
        <v>5.65</v>
      </c>
      <c r="D268">
        <v>102800</v>
      </c>
      <c r="E268">
        <v>100000</v>
      </c>
      <c r="F268">
        <v>0</v>
      </c>
      <c r="G268" t="s">
        <v>16</v>
      </c>
      <c r="H268">
        <v>285000</v>
      </c>
      <c r="I268">
        <v>225000</v>
      </c>
      <c r="J268">
        <v>360</v>
      </c>
      <c r="K268" t="str">
        <f t="shared" si="20"/>
        <v>0-10</v>
      </c>
      <c r="L268" s="13">
        <f t="shared" si="21"/>
        <v>78.94736842105263</v>
      </c>
      <c r="M268" t="str">
        <f t="shared" si="22"/>
        <v>not selected</v>
      </c>
      <c r="N268" t="str">
        <f t="shared" si="23"/>
        <v>not selected</v>
      </c>
      <c r="O268">
        <v>78.94736842105263</v>
      </c>
      <c r="P268">
        <v>30</v>
      </c>
      <c r="Q268">
        <v>360</v>
      </c>
      <c r="R268">
        <v>0</v>
      </c>
      <c r="S268">
        <v>5.483342922407763</v>
      </c>
      <c r="T268" t="str">
        <f t="shared" si="24"/>
        <v>Less than 80%</v>
      </c>
      <c r="U268">
        <v>78.94736842105263</v>
      </c>
      <c r="V268">
        <v>30</v>
      </c>
      <c r="W268">
        <v>0</v>
      </c>
    </row>
    <row r="269" spans="1:23">
      <c r="A269">
        <v>262</v>
      </c>
      <c r="B269">
        <v>39</v>
      </c>
      <c r="C269">
        <v>17.14</v>
      </c>
      <c r="D269">
        <v>84600</v>
      </c>
      <c r="E269">
        <v>375000</v>
      </c>
      <c r="F269">
        <v>0</v>
      </c>
      <c r="G269" t="s">
        <v>16</v>
      </c>
      <c r="H269">
        <v>1505000</v>
      </c>
      <c r="I269">
        <v>515000</v>
      </c>
      <c r="J269">
        <v>360</v>
      </c>
      <c r="K269" t="str">
        <f t="shared" si="20"/>
        <v>10-20</v>
      </c>
      <c r="L269" s="13">
        <f t="shared" si="21"/>
        <v>34.219269102990033</v>
      </c>
      <c r="M269" t="str">
        <f t="shared" si="22"/>
        <v>not selected</v>
      </c>
      <c r="N269" t="str">
        <f t="shared" si="23"/>
        <v>selected</v>
      </c>
      <c r="O269">
        <v>34.219269102990033</v>
      </c>
      <c r="P269">
        <v>42</v>
      </c>
      <c r="Q269">
        <v>360</v>
      </c>
      <c r="R269">
        <v>0</v>
      </c>
      <c r="S269">
        <v>5.426355318131403</v>
      </c>
      <c r="T269" t="str">
        <f t="shared" si="24"/>
        <v>Less than 80%</v>
      </c>
      <c r="U269">
        <v>34.219269102990033</v>
      </c>
      <c r="V269">
        <v>42</v>
      </c>
      <c r="W269">
        <v>0</v>
      </c>
    </row>
    <row r="270" spans="1:23">
      <c r="A270">
        <v>263</v>
      </c>
      <c r="B270">
        <v>1</v>
      </c>
      <c r="C270">
        <v>20.78</v>
      </c>
      <c r="D270">
        <v>71700</v>
      </c>
      <c r="E270">
        <v>62000</v>
      </c>
      <c r="F270">
        <v>0</v>
      </c>
      <c r="G270" t="s">
        <v>16</v>
      </c>
      <c r="H270">
        <v>275000</v>
      </c>
      <c r="I270">
        <v>205000</v>
      </c>
      <c r="J270">
        <v>360</v>
      </c>
      <c r="K270" t="str">
        <f t="shared" si="20"/>
        <v>20-30</v>
      </c>
      <c r="L270" s="13">
        <f t="shared" si="21"/>
        <v>74.545454545454547</v>
      </c>
      <c r="M270" t="str">
        <f t="shared" si="22"/>
        <v>not selected</v>
      </c>
      <c r="N270" t="str">
        <f t="shared" si="23"/>
        <v>not selected</v>
      </c>
      <c r="O270">
        <v>74.545454545454547</v>
      </c>
      <c r="P270">
        <v>48</v>
      </c>
      <c r="Q270">
        <v>360</v>
      </c>
      <c r="R270">
        <v>0</v>
      </c>
      <c r="S270">
        <v>4.6736319978142422</v>
      </c>
      <c r="T270" t="str">
        <f t="shared" si="24"/>
        <v>Less than 80%</v>
      </c>
      <c r="U270">
        <v>74.545454545454547</v>
      </c>
      <c r="V270">
        <v>48</v>
      </c>
      <c r="W270">
        <v>0</v>
      </c>
    </row>
    <row r="271" spans="1:23">
      <c r="A271">
        <v>264</v>
      </c>
      <c r="B271">
        <v>18</v>
      </c>
      <c r="C271">
        <v>18.93</v>
      </c>
      <c r="D271">
        <v>70000</v>
      </c>
      <c r="E271">
        <v>72000</v>
      </c>
      <c r="F271">
        <v>0</v>
      </c>
      <c r="G271" t="s">
        <v>16</v>
      </c>
      <c r="H271">
        <v>295000</v>
      </c>
      <c r="I271">
        <v>265000</v>
      </c>
      <c r="J271">
        <v>360</v>
      </c>
      <c r="K271" t="str">
        <f t="shared" si="20"/>
        <v>10-20</v>
      </c>
      <c r="L271" s="13">
        <f t="shared" si="21"/>
        <v>89.830508474576277</v>
      </c>
      <c r="M271" t="str">
        <f t="shared" si="22"/>
        <v>not selected</v>
      </c>
      <c r="N271" t="str">
        <f t="shared" si="23"/>
        <v>not selected</v>
      </c>
      <c r="O271">
        <v>89.830508474576277</v>
      </c>
      <c r="P271">
        <v>21</v>
      </c>
      <c r="Q271">
        <v>360</v>
      </c>
      <c r="R271">
        <v>0</v>
      </c>
      <c r="S271">
        <v>5.5090852347964967</v>
      </c>
      <c r="T271" t="str">
        <f t="shared" si="24"/>
        <v>More than 80%</v>
      </c>
      <c r="U271">
        <v>89.830508474576277</v>
      </c>
      <c r="V271">
        <v>21</v>
      </c>
      <c r="W271">
        <v>0</v>
      </c>
    </row>
    <row r="272" spans="1:23">
      <c r="A272">
        <v>265</v>
      </c>
      <c r="B272">
        <v>25</v>
      </c>
      <c r="C272">
        <v>3.67</v>
      </c>
      <c r="D272">
        <v>114000</v>
      </c>
      <c r="E272">
        <v>83000</v>
      </c>
      <c r="F272">
        <v>0</v>
      </c>
      <c r="G272" t="s">
        <v>16</v>
      </c>
      <c r="H272">
        <v>725000</v>
      </c>
      <c r="I272">
        <v>335000</v>
      </c>
      <c r="J272">
        <v>360</v>
      </c>
      <c r="K272" t="str">
        <f t="shared" si="20"/>
        <v>0-10</v>
      </c>
      <c r="L272" s="13">
        <f t="shared" si="21"/>
        <v>46.206896551724135</v>
      </c>
      <c r="M272" t="str">
        <f t="shared" si="22"/>
        <v>not selected</v>
      </c>
      <c r="N272" t="str">
        <f t="shared" si="23"/>
        <v>not selected</v>
      </c>
      <c r="O272">
        <v>46.206896551724135</v>
      </c>
      <c r="P272">
        <v>51</v>
      </c>
      <c r="Q272">
        <v>360</v>
      </c>
      <c r="R272">
        <v>0</v>
      </c>
      <c r="S272">
        <v>5.5378470820095504</v>
      </c>
      <c r="T272" t="str">
        <f t="shared" si="24"/>
        <v>Less than 80%</v>
      </c>
      <c r="U272">
        <v>46.206896551724135</v>
      </c>
      <c r="V272">
        <v>51</v>
      </c>
      <c r="W272">
        <v>0</v>
      </c>
    </row>
    <row r="273" spans="1:23">
      <c r="A273">
        <v>266</v>
      </c>
      <c r="B273">
        <v>6</v>
      </c>
      <c r="C273">
        <v>58.35</v>
      </c>
      <c r="D273">
        <v>81600</v>
      </c>
      <c r="E273">
        <v>147000</v>
      </c>
      <c r="F273">
        <v>0</v>
      </c>
      <c r="G273" t="s">
        <v>16</v>
      </c>
      <c r="H273">
        <v>755000</v>
      </c>
      <c r="I273">
        <v>605000</v>
      </c>
      <c r="J273">
        <v>360</v>
      </c>
      <c r="K273" t="str">
        <f t="shared" si="20"/>
        <v>More than 50</v>
      </c>
      <c r="L273" s="13">
        <f t="shared" si="21"/>
        <v>80.132450331125824</v>
      </c>
      <c r="M273" t="str">
        <f t="shared" si="22"/>
        <v>not selected</v>
      </c>
      <c r="N273" t="str">
        <f t="shared" si="23"/>
        <v>not selected</v>
      </c>
      <c r="O273">
        <v>80.132450331125824</v>
      </c>
      <c r="P273">
        <v>27</v>
      </c>
      <c r="Q273">
        <v>360</v>
      </c>
      <c r="R273">
        <v>0</v>
      </c>
      <c r="S273">
        <v>4.900763782911028</v>
      </c>
      <c r="T273" t="str">
        <f t="shared" si="24"/>
        <v>More than 80%</v>
      </c>
      <c r="U273">
        <v>80.132450331125824</v>
      </c>
      <c r="V273">
        <v>27</v>
      </c>
      <c r="W273">
        <v>0</v>
      </c>
    </row>
    <row r="274" spans="1:23">
      <c r="A274">
        <v>267</v>
      </c>
      <c r="B274">
        <v>48</v>
      </c>
      <c r="C274">
        <v>42.96</v>
      </c>
      <c r="D274">
        <v>72200</v>
      </c>
      <c r="E274">
        <v>88000</v>
      </c>
      <c r="F274">
        <v>0</v>
      </c>
      <c r="G274" t="s">
        <v>16</v>
      </c>
      <c r="H274">
        <v>205000</v>
      </c>
      <c r="I274">
        <v>75000</v>
      </c>
      <c r="J274">
        <v>360</v>
      </c>
      <c r="K274" t="str">
        <f t="shared" si="20"/>
        <v>40-50</v>
      </c>
      <c r="L274" s="13">
        <f t="shared" si="21"/>
        <v>36.585365853658537</v>
      </c>
      <c r="M274" t="str">
        <f t="shared" si="22"/>
        <v>not selected</v>
      </c>
      <c r="N274" t="str">
        <f t="shared" si="23"/>
        <v>not selected</v>
      </c>
      <c r="O274">
        <v>36.585365853658537</v>
      </c>
      <c r="P274">
        <v>35</v>
      </c>
      <c r="Q274">
        <v>360</v>
      </c>
      <c r="R274">
        <v>0</v>
      </c>
      <c r="S274">
        <v>3.4519917392052779</v>
      </c>
      <c r="T274" t="str">
        <f t="shared" si="24"/>
        <v>Less than 80%</v>
      </c>
      <c r="U274">
        <v>36.585365853658537</v>
      </c>
      <c r="V274">
        <v>35</v>
      </c>
      <c r="W274">
        <v>0</v>
      </c>
    </row>
    <row r="275" spans="1:23">
      <c r="A275">
        <v>268</v>
      </c>
      <c r="B275">
        <v>17</v>
      </c>
      <c r="C275">
        <v>33.090000000000003</v>
      </c>
      <c r="D275">
        <v>89100</v>
      </c>
      <c r="E275">
        <v>123000</v>
      </c>
      <c r="F275">
        <v>0</v>
      </c>
      <c r="G275" t="s">
        <v>16</v>
      </c>
      <c r="H275">
        <v>365000</v>
      </c>
      <c r="I275">
        <v>255000</v>
      </c>
      <c r="J275">
        <v>240</v>
      </c>
      <c r="K275" t="str">
        <f t="shared" si="20"/>
        <v>30-40</v>
      </c>
      <c r="L275" s="13">
        <f t="shared" si="21"/>
        <v>69.863013698630141</v>
      </c>
      <c r="M275" t="str">
        <f t="shared" si="22"/>
        <v>not selected</v>
      </c>
      <c r="N275" t="str">
        <f t="shared" si="23"/>
        <v>not selected</v>
      </c>
      <c r="O275">
        <v>69.863013698630141</v>
      </c>
      <c r="P275">
        <v>26</v>
      </c>
      <c r="Q275">
        <v>240</v>
      </c>
      <c r="R275">
        <v>0</v>
      </c>
      <c r="S275">
        <v>5.1421496029858247</v>
      </c>
      <c r="T275" t="str">
        <f t="shared" si="24"/>
        <v>Less than 80%</v>
      </c>
      <c r="U275">
        <v>69.863013698630141</v>
      </c>
      <c r="V275">
        <v>26</v>
      </c>
      <c r="W275">
        <v>0</v>
      </c>
    </row>
    <row r="276" spans="1:23">
      <c r="A276">
        <v>269</v>
      </c>
      <c r="B276">
        <v>24</v>
      </c>
      <c r="C276">
        <v>93.79</v>
      </c>
      <c r="D276">
        <v>124900</v>
      </c>
      <c r="E276">
        <v>39000</v>
      </c>
      <c r="F276">
        <v>0</v>
      </c>
      <c r="G276" t="s">
        <v>16</v>
      </c>
      <c r="H276">
        <v>315000</v>
      </c>
      <c r="I276">
        <v>245000</v>
      </c>
      <c r="J276">
        <v>360</v>
      </c>
      <c r="K276" t="str">
        <f t="shared" si="20"/>
        <v>More than 50</v>
      </c>
      <c r="L276" s="13">
        <f t="shared" si="21"/>
        <v>77.777777777777786</v>
      </c>
      <c r="M276" t="str">
        <f t="shared" si="22"/>
        <v>not selected</v>
      </c>
      <c r="N276" t="str">
        <f t="shared" si="23"/>
        <v>not selected</v>
      </c>
      <c r="O276">
        <v>77.777777777777786</v>
      </c>
      <c r="P276">
        <v>21</v>
      </c>
      <c r="Q276">
        <v>360</v>
      </c>
      <c r="R276">
        <v>0</v>
      </c>
      <c r="S276">
        <v>4.6177157304658039</v>
      </c>
      <c r="T276" t="str">
        <f t="shared" si="24"/>
        <v>Less than 80%</v>
      </c>
      <c r="U276">
        <v>77.777777777777786</v>
      </c>
      <c r="V276">
        <v>21</v>
      </c>
      <c r="W276">
        <v>0</v>
      </c>
    </row>
    <row r="277" spans="1:23">
      <c r="A277">
        <v>270</v>
      </c>
      <c r="B277">
        <v>10</v>
      </c>
      <c r="C277">
        <v>35.76</v>
      </c>
      <c r="D277">
        <v>96600</v>
      </c>
      <c r="E277">
        <v>148000</v>
      </c>
      <c r="F277">
        <v>0</v>
      </c>
      <c r="G277" t="s">
        <v>16</v>
      </c>
      <c r="H277">
        <v>345000</v>
      </c>
      <c r="I277">
        <v>245000</v>
      </c>
      <c r="J277">
        <v>360</v>
      </c>
      <c r="K277" t="str">
        <f t="shared" si="20"/>
        <v>30-40</v>
      </c>
      <c r="L277" s="13">
        <f t="shared" si="21"/>
        <v>71.014492753623188</v>
      </c>
      <c r="M277" t="str">
        <f t="shared" si="22"/>
        <v>not selected</v>
      </c>
      <c r="N277" t="str">
        <f t="shared" si="23"/>
        <v>not selected</v>
      </c>
      <c r="O277">
        <v>71.014492753623188</v>
      </c>
      <c r="P277">
        <v>31</v>
      </c>
      <c r="Q277">
        <v>360</v>
      </c>
      <c r="R277">
        <v>0</v>
      </c>
      <c r="S277">
        <v>3.9033133318967015</v>
      </c>
      <c r="T277" t="str">
        <f t="shared" si="24"/>
        <v>Less than 80%</v>
      </c>
      <c r="U277">
        <v>71.014492753623188</v>
      </c>
      <c r="V277">
        <v>31</v>
      </c>
      <c r="W277">
        <v>0</v>
      </c>
    </row>
    <row r="278" spans="1:23">
      <c r="A278">
        <v>271</v>
      </c>
      <c r="B278">
        <v>41</v>
      </c>
      <c r="C278">
        <v>19.440000000000001</v>
      </c>
      <c r="D278">
        <v>92100</v>
      </c>
      <c r="E278">
        <v>120000</v>
      </c>
      <c r="F278">
        <v>0</v>
      </c>
      <c r="G278" t="s">
        <v>16</v>
      </c>
      <c r="H278">
        <v>475000</v>
      </c>
      <c r="I278">
        <v>375000</v>
      </c>
      <c r="J278">
        <v>180</v>
      </c>
      <c r="K278" t="str">
        <f t="shared" si="20"/>
        <v>10-20</v>
      </c>
      <c r="L278" s="13">
        <f t="shared" si="21"/>
        <v>78.94736842105263</v>
      </c>
      <c r="M278" t="str">
        <f t="shared" si="22"/>
        <v>selected</v>
      </c>
      <c r="N278" t="str">
        <f t="shared" si="23"/>
        <v>not selected</v>
      </c>
      <c r="O278">
        <v>78.94736842105263</v>
      </c>
      <c r="P278">
        <v>10</v>
      </c>
      <c r="Q278">
        <v>180</v>
      </c>
      <c r="R278">
        <v>0</v>
      </c>
      <c r="S278">
        <v>3.3252747405714045</v>
      </c>
      <c r="T278" t="str">
        <f t="shared" si="24"/>
        <v>Less than 80%</v>
      </c>
      <c r="U278">
        <v>78.94736842105263</v>
      </c>
      <c r="V278">
        <v>10</v>
      </c>
      <c r="W278">
        <v>0</v>
      </c>
    </row>
    <row r="279" spans="1:23">
      <c r="A279">
        <v>272</v>
      </c>
      <c r="B279">
        <v>8</v>
      </c>
      <c r="C279">
        <v>38.78</v>
      </c>
      <c r="D279">
        <v>84500</v>
      </c>
      <c r="E279">
        <v>61000</v>
      </c>
      <c r="F279">
        <v>0</v>
      </c>
      <c r="G279" t="s">
        <v>16</v>
      </c>
      <c r="H279">
        <v>555000</v>
      </c>
      <c r="I279">
        <v>415000</v>
      </c>
      <c r="J279">
        <v>360</v>
      </c>
      <c r="K279" t="str">
        <f t="shared" si="20"/>
        <v>30-40</v>
      </c>
      <c r="L279" s="13">
        <f t="shared" si="21"/>
        <v>74.774774774774784</v>
      </c>
      <c r="M279" t="str">
        <f t="shared" si="22"/>
        <v>not selected</v>
      </c>
      <c r="N279" t="str">
        <f t="shared" si="23"/>
        <v>not selected</v>
      </c>
      <c r="O279">
        <v>74.774774774774784</v>
      </c>
      <c r="P279">
        <v>33</v>
      </c>
      <c r="Q279">
        <v>360</v>
      </c>
      <c r="R279">
        <v>0</v>
      </c>
      <c r="S279">
        <v>4.7424451346467</v>
      </c>
      <c r="T279" t="str">
        <f t="shared" si="24"/>
        <v>Less than 80%</v>
      </c>
      <c r="U279">
        <v>74.774774774774784</v>
      </c>
      <c r="V279">
        <v>33</v>
      </c>
      <c r="W279">
        <v>0</v>
      </c>
    </row>
    <row r="280" spans="1:23">
      <c r="A280">
        <v>273</v>
      </c>
      <c r="B280">
        <v>9</v>
      </c>
      <c r="C280">
        <v>6.54</v>
      </c>
      <c r="D280">
        <v>91800</v>
      </c>
      <c r="E280">
        <v>58000</v>
      </c>
      <c r="F280">
        <v>0</v>
      </c>
      <c r="G280" t="s">
        <v>16</v>
      </c>
      <c r="H280">
        <v>265000</v>
      </c>
      <c r="I280">
        <v>245000</v>
      </c>
      <c r="J280">
        <v>360</v>
      </c>
      <c r="K280" t="str">
        <f t="shared" si="20"/>
        <v>0-10</v>
      </c>
      <c r="L280" s="13">
        <f t="shared" si="21"/>
        <v>92.452830188679243</v>
      </c>
      <c r="M280" t="str">
        <f t="shared" si="22"/>
        <v>not selected</v>
      </c>
      <c r="N280" t="str">
        <f t="shared" si="23"/>
        <v>not selected</v>
      </c>
      <c r="O280">
        <v>92.452830188679243</v>
      </c>
      <c r="P280">
        <v>8</v>
      </c>
      <c r="Q280">
        <v>360</v>
      </c>
      <c r="R280">
        <v>0</v>
      </c>
      <c r="S280">
        <v>5.1171041566546398</v>
      </c>
      <c r="T280" t="str">
        <f t="shared" si="24"/>
        <v>More than 80%</v>
      </c>
      <c r="U280">
        <v>92.452830188679243</v>
      </c>
      <c r="V280">
        <v>8</v>
      </c>
      <c r="W280">
        <v>0</v>
      </c>
    </row>
    <row r="281" spans="1:23">
      <c r="A281">
        <v>274</v>
      </c>
      <c r="B281">
        <v>34</v>
      </c>
      <c r="C281">
        <v>34.840000000000003</v>
      </c>
      <c r="D281">
        <v>96600</v>
      </c>
      <c r="E281">
        <v>56000</v>
      </c>
      <c r="F281">
        <v>0</v>
      </c>
      <c r="G281" t="s">
        <v>16</v>
      </c>
      <c r="H281">
        <v>175000</v>
      </c>
      <c r="I281">
        <v>165000</v>
      </c>
      <c r="J281">
        <v>360</v>
      </c>
      <c r="K281" t="str">
        <f t="shared" si="20"/>
        <v>30-40</v>
      </c>
      <c r="L281" s="13">
        <f t="shared" si="21"/>
        <v>94.285714285714278</v>
      </c>
      <c r="M281" t="str">
        <f t="shared" si="22"/>
        <v>not selected</v>
      </c>
      <c r="N281" t="str">
        <f t="shared" si="23"/>
        <v>not selected</v>
      </c>
      <c r="O281">
        <v>94.285714285714278</v>
      </c>
      <c r="P281">
        <v>26</v>
      </c>
      <c r="Q281">
        <v>360</v>
      </c>
      <c r="R281">
        <v>0</v>
      </c>
      <c r="S281">
        <v>5.753361214559721</v>
      </c>
      <c r="T281" t="str">
        <f t="shared" si="24"/>
        <v>More than 80%</v>
      </c>
      <c r="U281">
        <v>94.285714285714278</v>
      </c>
      <c r="V281">
        <v>26</v>
      </c>
      <c r="W281">
        <v>0</v>
      </c>
    </row>
    <row r="282" spans="1:23">
      <c r="A282">
        <v>275</v>
      </c>
      <c r="B282">
        <v>6</v>
      </c>
      <c r="C282">
        <v>48.59</v>
      </c>
      <c r="D282">
        <v>95400</v>
      </c>
      <c r="E282">
        <v>133000</v>
      </c>
      <c r="F282">
        <v>0</v>
      </c>
      <c r="G282" t="s">
        <v>16</v>
      </c>
      <c r="H282">
        <v>625000</v>
      </c>
      <c r="I282">
        <v>425000</v>
      </c>
      <c r="J282">
        <v>240</v>
      </c>
      <c r="K282" t="str">
        <f t="shared" si="20"/>
        <v>40-50</v>
      </c>
      <c r="L282" s="13">
        <f t="shared" si="21"/>
        <v>68</v>
      </c>
      <c r="M282" t="str">
        <f t="shared" si="22"/>
        <v>not selected</v>
      </c>
      <c r="N282" t="str">
        <f t="shared" si="23"/>
        <v>not selected</v>
      </c>
      <c r="O282">
        <v>68</v>
      </c>
      <c r="P282">
        <v>11</v>
      </c>
      <c r="Q282">
        <v>240</v>
      </c>
      <c r="R282">
        <v>0</v>
      </c>
      <c r="S282">
        <v>4.7122527869128508</v>
      </c>
      <c r="T282" t="str">
        <f t="shared" si="24"/>
        <v>Less than 80%</v>
      </c>
      <c r="U282">
        <v>68</v>
      </c>
      <c r="V282">
        <v>11</v>
      </c>
      <c r="W282">
        <v>0</v>
      </c>
    </row>
    <row r="283" spans="1:23">
      <c r="A283">
        <v>276</v>
      </c>
      <c r="B283">
        <v>17</v>
      </c>
      <c r="C283">
        <v>21.32</v>
      </c>
      <c r="D283">
        <v>89100</v>
      </c>
      <c r="E283">
        <v>58000</v>
      </c>
      <c r="F283">
        <v>1</v>
      </c>
      <c r="G283" t="s">
        <v>16</v>
      </c>
      <c r="H283">
        <v>265000</v>
      </c>
      <c r="I283">
        <v>225000</v>
      </c>
      <c r="J283">
        <v>360</v>
      </c>
      <c r="K283" t="str">
        <f t="shared" si="20"/>
        <v>20-30</v>
      </c>
      <c r="L283" s="13">
        <f t="shared" si="21"/>
        <v>84.905660377358487</v>
      </c>
      <c r="M283" t="str">
        <f t="shared" si="22"/>
        <v>not selected</v>
      </c>
      <c r="N283" t="str">
        <f t="shared" si="23"/>
        <v>not selected</v>
      </c>
      <c r="O283">
        <v>84.905660377358487</v>
      </c>
      <c r="P283">
        <v>23</v>
      </c>
      <c r="Q283">
        <v>360</v>
      </c>
      <c r="R283">
        <v>1</v>
      </c>
      <c r="S283">
        <v>5.6667355089925833</v>
      </c>
      <c r="T283" t="str">
        <f t="shared" si="24"/>
        <v>More than 80%</v>
      </c>
      <c r="U283">
        <v>84.905660377358487</v>
      </c>
      <c r="V283">
        <v>23</v>
      </c>
      <c r="W283">
        <v>1</v>
      </c>
    </row>
    <row r="284" spans="1:23">
      <c r="A284">
        <v>277</v>
      </c>
      <c r="B284">
        <v>27</v>
      </c>
      <c r="C284">
        <v>10.3</v>
      </c>
      <c r="D284">
        <v>102800</v>
      </c>
      <c r="E284">
        <v>213000</v>
      </c>
      <c r="F284">
        <v>0</v>
      </c>
      <c r="G284" t="s">
        <v>16</v>
      </c>
      <c r="H284">
        <v>665000</v>
      </c>
      <c r="I284">
        <v>495000</v>
      </c>
      <c r="J284">
        <v>360</v>
      </c>
      <c r="K284" t="str">
        <f t="shared" si="20"/>
        <v>10-20</v>
      </c>
      <c r="L284" s="13">
        <f t="shared" si="21"/>
        <v>74.436090225563916</v>
      </c>
      <c r="M284" t="str">
        <f t="shared" si="22"/>
        <v>not selected</v>
      </c>
      <c r="N284" t="str">
        <f t="shared" si="23"/>
        <v>not selected</v>
      </c>
      <c r="O284">
        <v>74.436090225563916</v>
      </c>
      <c r="P284">
        <v>42</v>
      </c>
      <c r="Q284">
        <v>360</v>
      </c>
      <c r="R284">
        <v>0</v>
      </c>
      <c r="S284">
        <v>5.2782750345306955</v>
      </c>
      <c r="T284" t="str">
        <f t="shared" si="24"/>
        <v>Less than 80%</v>
      </c>
      <c r="U284">
        <v>74.436090225563916</v>
      </c>
      <c r="V284">
        <v>42</v>
      </c>
      <c r="W284">
        <v>0</v>
      </c>
    </row>
    <row r="285" spans="1:23">
      <c r="A285">
        <v>278</v>
      </c>
      <c r="B285">
        <v>53</v>
      </c>
      <c r="C285">
        <v>27.73</v>
      </c>
      <c r="D285">
        <v>106900</v>
      </c>
      <c r="E285">
        <v>110000</v>
      </c>
      <c r="F285">
        <v>0</v>
      </c>
      <c r="G285" t="s">
        <v>16</v>
      </c>
      <c r="H285">
        <v>455000</v>
      </c>
      <c r="I285">
        <v>235000</v>
      </c>
      <c r="J285">
        <v>180</v>
      </c>
      <c r="K285" t="str">
        <f t="shared" si="20"/>
        <v>20-30</v>
      </c>
      <c r="L285" s="13">
        <f t="shared" si="21"/>
        <v>51.648351648351657</v>
      </c>
      <c r="M285" t="str">
        <f t="shared" si="22"/>
        <v>selected</v>
      </c>
      <c r="N285" t="str">
        <f t="shared" si="23"/>
        <v>not selected</v>
      </c>
      <c r="O285">
        <v>51.648351648351657</v>
      </c>
      <c r="P285">
        <v>28</v>
      </c>
      <c r="Q285">
        <v>180</v>
      </c>
      <c r="R285">
        <v>0</v>
      </c>
      <c r="S285">
        <v>4.9352183772446692</v>
      </c>
      <c r="T285" t="str">
        <f t="shared" si="24"/>
        <v>Less than 80%</v>
      </c>
      <c r="U285">
        <v>51.648351648351657</v>
      </c>
      <c r="V285">
        <v>28</v>
      </c>
      <c r="W285">
        <v>0</v>
      </c>
    </row>
    <row r="286" spans="1:23">
      <c r="A286">
        <v>279</v>
      </c>
      <c r="B286">
        <v>53</v>
      </c>
      <c r="C286">
        <v>49.27</v>
      </c>
      <c r="D286">
        <v>106900</v>
      </c>
      <c r="E286">
        <v>358000</v>
      </c>
      <c r="F286">
        <v>0</v>
      </c>
      <c r="G286" t="s">
        <v>16</v>
      </c>
      <c r="H286">
        <v>315000</v>
      </c>
      <c r="I286">
        <v>235000</v>
      </c>
      <c r="J286">
        <v>360</v>
      </c>
      <c r="K286" t="str">
        <f t="shared" si="20"/>
        <v>40-50</v>
      </c>
      <c r="L286" s="13">
        <f t="shared" si="21"/>
        <v>74.603174603174608</v>
      </c>
      <c r="M286" t="str">
        <f t="shared" si="22"/>
        <v>not selected</v>
      </c>
      <c r="N286" t="str">
        <f t="shared" si="23"/>
        <v>selected</v>
      </c>
      <c r="O286">
        <v>74.603174603174608</v>
      </c>
      <c r="P286">
        <v>34</v>
      </c>
      <c r="Q286">
        <v>360</v>
      </c>
      <c r="R286">
        <v>0</v>
      </c>
      <c r="S286">
        <v>3.8086617171626349</v>
      </c>
      <c r="T286" t="str">
        <f t="shared" si="24"/>
        <v>Less than 80%</v>
      </c>
      <c r="U286">
        <v>74.603174603174608</v>
      </c>
      <c r="V286">
        <v>34</v>
      </c>
      <c r="W286">
        <v>0</v>
      </c>
    </row>
    <row r="287" spans="1:23">
      <c r="A287">
        <v>280</v>
      </c>
      <c r="B287">
        <v>48</v>
      </c>
      <c r="C287">
        <v>13.42</v>
      </c>
      <c r="D287">
        <v>80000</v>
      </c>
      <c r="E287">
        <v>127000</v>
      </c>
      <c r="F287">
        <v>1</v>
      </c>
      <c r="G287" t="s">
        <v>16</v>
      </c>
      <c r="H287">
        <v>235000</v>
      </c>
      <c r="I287">
        <v>205000</v>
      </c>
      <c r="J287">
        <v>360</v>
      </c>
      <c r="K287" t="str">
        <f t="shared" si="20"/>
        <v>10-20</v>
      </c>
      <c r="L287" s="13">
        <f t="shared" si="21"/>
        <v>87.2340425531915</v>
      </c>
      <c r="M287" t="str">
        <f t="shared" si="22"/>
        <v>not selected</v>
      </c>
      <c r="N287" t="str">
        <f t="shared" si="23"/>
        <v>not selected</v>
      </c>
      <c r="O287">
        <v>87.2340425531915</v>
      </c>
      <c r="P287">
        <v>33</v>
      </c>
      <c r="Q287">
        <v>360</v>
      </c>
      <c r="R287">
        <v>1</v>
      </c>
      <c r="S287">
        <v>5.7831193584818514</v>
      </c>
      <c r="T287" t="str">
        <f t="shared" si="24"/>
        <v>More than 80%</v>
      </c>
      <c r="U287">
        <v>87.2340425531915</v>
      </c>
      <c r="V287">
        <v>33</v>
      </c>
      <c r="W287">
        <v>1</v>
      </c>
    </row>
    <row r="288" spans="1:23">
      <c r="A288">
        <v>281</v>
      </c>
      <c r="B288">
        <v>47</v>
      </c>
      <c r="C288">
        <v>4.74</v>
      </c>
      <c r="D288">
        <v>59100</v>
      </c>
      <c r="E288">
        <v>26000</v>
      </c>
      <c r="F288">
        <v>0</v>
      </c>
      <c r="G288" t="s">
        <v>16</v>
      </c>
      <c r="H288">
        <v>125000</v>
      </c>
      <c r="I288">
        <v>105000</v>
      </c>
      <c r="J288">
        <v>360</v>
      </c>
      <c r="K288" t="str">
        <f t="shared" si="20"/>
        <v>0-10</v>
      </c>
      <c r="L288" s="13">
        <f t="shared" si="21"/>
        <v>84</v>
      </c>
      <c r="M288" t="str">
        <f t="shared" si="22"/>
        <v>not selected</v>
      </c>
      <c r="N288" t="str">
        <f t="shared" si="23"/>
        <v>not selected</v>
      </c>
      <c r="O288">
        <v>84</v>
      </c>
      <c r="P288">
        <v>20</v>
      </c>
      <c r="Q288">
        <v>360</v>
      </c>
      <c r="R288">
        <v>0</v>
      </c>
      <c r="S288">
        <v>5.1622514336490806</v>
      </c>
      <c r="T288" t="str">
        <f t="shared" si="24"/>
        <v>More than 80%</v>
      </c>
      <c r="U288">
        <v>84</v>
      </c>
      <c r="V288">
        <v>20</v>
      </c>
      <c r="W288">
        <v>0</v>
      </c>
    </row>
    <row r="289" spans="1:23">
      <c r="A289">
        <v>282</v>
      </c>
      <c r="B289">
        <v>24</v>
      </c>
      <c r="C289">
        <v>17.37</v>
      </c>
      <c r="D289">
        <v>104000</v>
      </c>
      <c r="E289">
        <v>117000</v>
      </c>
      <c r="F289">
        <v>0</v>
      </c>
      <c r="G289" t="s">
        <v>16</v>
      </c>
      <c r="H289">
        <v>235000</v>
      </c>
      <c r="I289">
        <v>155000</v>
      </c>
      <c r="J289">
        <v>360</v>
      </c>
      <c r="K289" t="str">
        <f t="shared" si="20"/>
        <v>10-20</v>
      </c>
      <c r="L289" s="13">
        <f t="shared" si="21"/>
        <v>65.957446808510639</v>
      </c>
      <c r="M289" t="str">
        <f t="shared" si="22"/>
        <v>not selected</v>
      </c>
      <c r="N289" t="str">
        <f t="shared" si="23"/>
        <v>not selected</v>
      </c>
      <c r="O289">
        <v>65.957446808510639</v>
      </c>
      <c r="P289">
        <v>21</v>
      </c>
      <c r="Q289">
        <v>360</v>
      </c>
      <c r="R289">
        <v>0</v>
      </c>
      <c r="S289">
        <v>4.0981129823062838</v>
      </c>
      <c r="T289" t="str">
        <f t="shared" si="24"/>
        <v>Less than 80%</v>
      </c>
      <c r="U289">
        <v>65.957446808510639</v>
      </c>
      <c r="V289">
        <v>21</v>
      </c>
      <c r="W289">
        <v>0</v>
      </c>
    </row>
    <row r="290" spans="1:23">
      <c r="A290">
        <v>283</v>
      </c>
      <c r="B290">
        <v>21</v>
      </c>
      <c r="C290">
        <v>13.98</v>
      </c>
      <c r="D290">
        <v>85200</v>
      </c>
      <c r="E290">
        <v>96000</v>
      </c>
      <c r="F290">
        <v>0</v>
      </c>
      <c r="G290" t="s">
        <v>16</v>
      </c>
      <c r="H290">
        <v>305000</v>
      </c>
      <c r="I290">
        <v>185000</v>
      </c>
      <c r="J290">
        <v>180</v>
      </c>
      <c r="K290" t="str">
        <f t="shared" si="20"/>
        <v>10-20</v>
      </c>
      <c r="L290" s="13">
        <f t="shared" si="21"/>
        <v>60.655737704918032</v>
      </c>
      <c r="M290" t="str">
        <f t="shared" si="22"/>
        <v>selected</v>
      </c>
      <c r="N290" t="str">
        <f t="shared" si="23"/>
        <v>not selected</v>
      </c>
      <c r="O290">
        <v>60.655737704918032</v>
      </c>
      <c r="P290">
        <v>22</v>
      </c>
      <c r="Q290">
        <v>180</v>
      </c>
      <c r="R290">
        <v>0</v>
      </c>
      <c r="S290">
        <v>3.6670356689005588</v>
      </c>
      <c r="T290" t="str">
        <f t="shared" si="24"/>
        <v>Less than 80%</v>
      </c>
      <c r="U290">
        <v>60.655737704918032</v>
      </c>
      <c r="V290">
        <v>22</v>
      </c>
      <c r="W290">
        <v>0</v>
      </c>
    </row>
    <row r="291" spans="1:23">
      <c r="A291">
        <v>284</v>
      </c>
      <c r="B291">
        <v>17</v>
      </c>
      <c r="C291">
        <v>30.82</v>
      </c>
      <c r="D291">
        <v>89100</v>
      </c>
      <c r="E291">
        <v>104000</v>
      </c>
      <c r="F291">
        <v>0</v>
      </c>
      <c r="G291" t="s">
        <v>16</v>
      </c>
      <c r="H291">
        <v>255000</v>
      </c>
      <c r="I291">
        <v>225000</v>
      </c>
      <c r="J291">
        <v>360</v>
      </c>
      <c r="K291" t="str">
        <f t="shared" si="20"/>
        <v>30-40</v>
      </c>
      <c r="L291" s="13">
        <f t="shared" si="21"/>
        <v>88.235294117647058</v>
      </c>
      <c r="M291" t="str">
        <f t="shared" si="22"/>
        <v>not selected</v>
      </c>
      <c r="N291" t="str">
        <f t="shared" si="23"/>
        <v>not selected</v>
      </c>
      <c r="O291">
        <v>88.235294117647058</v>
      </c>
      <c r="P291">
        <v>22</v>
      </c>
      <c r="Q291">
        <v>360</v>
      </c>
      <c r="R291">
        <v>0</v>
      </c>
      <c r="S291">
        <v>4.3262067727092237</v>
      </c>
      <c r="T291" t="str">
        <f t="shared" si="24"/>
        <v>More than 80%</v>
      </c>
      <c r="U291">
        <v>88.235294117647058</v>
      </c>
      <c r="V291">
        <v>22</v>
      </c>
      <c r="W291">
        <v>0</v>
      </c>
    </row>
    <row r="292" spans="1:23">
      <c r="A292">
        <v>285</v>
      </c>
      <c r="B292">
        <v>22</v>
      </c>
      <c r="C292">
        <v>74.400000000000006</v>
      </c>
      <c r="D292">
        <v>62800</v>
      </c>
      <c r="E292">
        <v>40000</v>
      </c>
      <c r="F292">
        <v>1</v>
      </c>
      <c r="G292" t="s">
        <v>16</v>
      </c>
      <c r="H292">
        <v>155000</v>
      </c>
      <c r="I292">
        <v>145000</v>
      </c>
      <c r="J292">
        <v>360</v>
      </c>
      <c r="K292" t="str">
        <f t="shared" si="20"/>
        <v>More than 50</v>
      </c>
      <c r="L292" s="13">
        <f t="shared" si="21"/>
        <v>93.548387096774192</v>
      </c>
      <c r="M292" t="str">
        <f t="shared" si="22"/>
        <v>not selected</v>
      </c>
      <c r="N292" t="str">
        <f t="shared" si="23"/>
        <v>not selected</v>
      </c>
      <c r="O292">
        <v>93.548387096774192</v>
      </c>
      <c r="P292">
        <v>23</v>
      </c>
      <c r="Q292">
        <v>360</v>
      </c>
      <c r="R292">
        <v>1</v>
      </c>
      <c r="S292">
        <v>4.3350421225496589</v>
      </c>
      <c r="T292" t="str">
        <f t="shared" si="24"/>
        <v>More than 80%</v>
      </c>
      <c r="U292">
        <v>93.548387096774192</v>
      </c>
      <c r="V292">
        <v>23</v>
      </c>
      <c r="W292">
        <v>1</v>
      </c>
    </row>
    <row r="293" spans="1:23">
      <c r="A293">
        <v>286</v>
      </c>
      <c r="B293">
        <v>35</v>
      </c>
      <c r="C293">
        <v>81.03</v>
      </c>
      <c r="D293">
        <v>69100</v>
      </c>
      <c r="E293">
        <v>43000</v>
      </c>
      <c r="F293">
        <v>0</v>
      </c>
      <c r="G293" t="s">
        <v>16</v>
      </c>
      <c r="H293">
        <v>275000</v>
      </c>
      <c r="I293">
        <v>205000</v>
      </c>
      <c r="J293">
        <v>360</v>
      </c>
      <c r="K293" t="str">
        <f t="shared" si="20"/>
        <v>More than 50</v>
      </c>
      <c r="L293" s="13">
        <f t="shared" si="21"/>
        <v>74.545454545454547</v>
      </c>
      <c r="M293" t="str">
        <f t="shared" si="22"/>
        <v>not selected</v>
      </c>
      <c r="N293" t="str">
        <f t="shared" si="23"/>
        <v>not selected</v>
      </c>
      <c r="O293">
        <v>74.545454545454547</v>
      </c>
      <c r="P293">
        <v>38</v>
      </c>
      <c r="Q293">
        <v>360</v>
      </c>
      <c r="R293">
        <v>0</v>
      </c>
      <c r="S293">
        <v>5.0450890899877097</v>
      </c>
      <c r="T293" t="str">
        <f t="shared" si="24"/>
        <v>Less than 80%</v>
      </c>
      <c r="U293">
        <v>74.545454545454547</v>
      </c>
      <c r="V293">
        <v>38</v>
      </c>
      <c r="W293">
        <v>0</v>
      </c>
    </row>
    <row r="294" spans="1:23">
      <c r="A294">
        <v>287</v>
      </c>
      <c r="B294">
        <v>18</v>
      </c>
      <c r="C294">
        <v>7.34</v>
      </c>
      <c r="D294">
        <v>89100</v>
      </c>
      <c r="E294">
        <v>95000</v>
      </c>
      <c r="F294">
        <v>0</v>
      </c>
      <c r="G294" t="s">
        <v>16</v>
      </c>
      <c r="H294">
        <v>455000</v>
      </c>
      <c r="I294">
        <v>395000</v>
      </c>
      <c r="J294">
        <v>360</v>
      </c>
      <c r="K294" t="str">
        <f t="shared" si="20"/>
        <v>0-10</v>
      </c>
      <c r="L294" s="13">
        <f t="shared" si="21"/>
        <v>86.813186813186817</v>
      </c>
      <c r="M294" t="str">
        <f t="shared" si="22"/>
        <v>not selected</v>
      </c>
      <c r="N294" t="str">
        <f t="shared" si="23"/>
        <v>not selected</v>
      </c>
      <c r="O294">
        <v>86.813186813186817</v>
      </c>
      <c r="P294">
        <v>23</v>
      </c>
      <c r="Q294">
        <v>360</v>
      </c>
      <c r="R294">
        <v>0</v>
      </c>
      <c r="S294">
        <v>3.7255849342525695</v>
      </c>
      <c r="T294" t="str">
        <f t="shared" si="24"/>
        <v>More than 80%</v>
      </c>
      <c r="U294">
        <v>86.813186813186817</v>
      </c>
      <c r="V294">
        <v>23</v>
      </c>
      <c r="W294">
        <v>0</v>
      </c>
    </row>
    <row r="295" spans="1:23">
      <c r="A295">
        <v>288</v>
      </c>
      <c r="B295">
        <v>49</v>
      </c>
      <c r="C295">
        <v>12.72</v>
      </c>
      <c r="D295">
        <v>87500</v>
      </c>
      <c r="E295">
        <v>76000</v>
      </c>
      <c r="F295">
        <v>0</v>
      </c>
      <c r="G295" t="s">
        <v>16</v>
      </c>
      <c r="H295">
        <v>245000</v>
      </c>
      <c r="I295">
        <v>145000</v>
      </c>
      <c r="J295">
        <v>360</v>
      </c>
      <c r="K295" t="str">
        <f t="shared" si="20"/>
        <v>10-20</v>
      </c>
      <c r="L295" s="13">
        <f t="shared" si="21"/>
        <v>59.183673469387756</v>
      </c>
      <c r="M295" t="str">
        <f t="shared" si="22"/>
        <v>not selected</v>
      </c>
      <c r="N295" t="str">
        <f t="shared" si="23"/>
        <v>not selected</v>
      </c>
      <c r="O295">
        <v>59.183673469387756</v>
      </c>
      <c r="P295">
        <v>22</v>
      </c>
      <c r="Q295">
        <v>360</v>
      </c>
      <c r="R295">
        <v>0</v>
      </c>
      <c r="S295">
        <v>5.2748224987812415</v>
      </c>
      <c r="T295" t="str">
        <f t="shared" si="24"/>
        <v>Less than 80%</v>
      </c>
      <c r="U295">
        <v>59.183673469387756</v>
      </c>
      <c r="V295">
        <v>22</v>
      </c>
      <c r="W295">
        <v>0</v>
      </c>
    </row>
    <row r="296" spans="1:23">
      <c r="A296">
        <v>289</v>
      </c>
      <c r="B296">
        <v>12</v>
      </c>
      <c r="C296">
        <v>32.46</v>
      </c>
      <c r="D296">
        <v>68100</v>
      </c>
      <c r="E296">
        <v>266000</v>
      </c>
      <c r="F296">
        <v>0</v>
      </c>
      <c r="G296" t="s">
        <v>16</v>
      </c>
      <c r="H296">
        <v>285000</v>
      </c>
      <c r="I296">
        <v>225000</v>
      </c>
      <c r="J296">
        <v>360</v>
      </c>
      <c r="K296" t="str">
        <f t="shared" si="20"/>
        <v>30-40</v>
      </c>
      <c r="L296" s="13">
        <f t="shared" si="21"/>
        <v>78.94736842105263</v>
      </c>
      <c r="M296" t="str">
        <f t="shared" si="22"/>
        <v>not selected</v>
      </c>
      <c r="N296" t="str">
        <f t="shared" si="23"/>
        <v>selected</v>
      </c>
      <c r="O296">
        <v>78.94736842105263</v>
      </c>
      <c r="P296">
        <v>23</v>
      </c>
      <c r="Q296">
        <v>360</v>
      </c>
      <c r="R296">
        <v>0</v>
      </c>
      <c r="S296">
        <v>5.1309500816153584</v>
      </c>
      <c r="T296" t="str">
        <f t="shared" si="24"/>
        <v>Less than 80%</v>
      </c>
      <c r="U296">
        <v>78.94736842105263</v>
      </c>
      <c r="V296">
        <v>23</v>
      </c>
      <c r="W296">
        <v>0</v>
      </c>
    </row>
    <row r="297" spans="1:23">
      <c r="A297">
        <v>290</v>
      </c>
      <c r="B297">
        <v>53</v>
      </c>
      <c r="C297">
        <v>18.829999999999998</v>
      </c>
      <c r="D297">
        <v>92100</v>
      </c>
      <c r="E297">
        <v>78000</v>
      </c>
      <c r="F297">
        <v>0</v>
      </c>
      <c r="G297" t="s">
        <v>16</v>
      </c>
      <c r="H297">
        <v>415000</v>
      </c>
      <c r="I297">
        <v>295000</v>
      </c>
      <c r="J297">
        <v>360</v>
      </c>
      <c r="K297" t="str">
        <f t="shared" si="20"/>
        <v>10-20</v>
      </c>
      <c r="L297" s="13">
        <f t="shared" si="21"/>
        <v>71.084337349397586</v>
      </c>
      <c r="M297" t="str">
        <f t="shared" si="22"/>
        <v>not selected</v>
      </c>
      <c r="N297" t="str">
        <f t="shared" si="23"/>
        <v>not selected</v>
      </c>
      <c r="O297">
        <v>71.084337349397586</v>
      </c>
      <c r="P297">
        <v>19</v>
      </c>
      <c r="Q297">
        <v>360</v>
      </c>
      <c r="R297">
        <v>0</v>
      </c>
      <c r="S297">
        <v>5.289213826512464</v>
      </c>
      <c r="T297" t="str">
        <f t="shared" si="24"/>
        <v>Less than 80%</v>
      </c>
      <c r="U297">
        <v>71.084337349397586</v>
      </c>
      <c r="V297">
        <v>19</v>
      </c>
      <c r="W297">
        <v>0</v>
      </c>
    </row>
    <row r="298" spans="1:23">
      <c r="A298">
        <v>291</v>
      </c>
      <c r="B298">
        <v>6</v>
      </c>
      <c r="C298">
        <v>75.34</v>
      </c>
      <c r="D298">
        <v>75300</v>
      </c>
      <c r="E298">
        <v>120000</v>
      </c>
      <c r="F298">
        <v>0</v>
      </c>
      <c r="G298" t="s">
        <v>16</v>
      </c>
      <c r="H298">
        <v>805000</v>
      </c>
      <c r="I298">
        <v>385000</v>
      </c>
      <c r="J298">
        <v>360</v>
      </c>
      <c r="K298" t="str">
        <f t="shared" si="20"/>
        <v>More than 50</v>
      </c>
      <c r="L298" s="13">
        <f t="shared" si="21"/>
        <v>47.826086956521742</v>
      </c>
      <c r="M298" t="str">
        <f t="shared" si="22"/>
        <v>not selected</v>
      </c>
      <c r="N298" t="str">
        <f t="shared" si="23"/>
        <v>not selected</v>
      </c>
      <c r="O298">
        <v>47.826086956521742</v>
      </c>
      <c r="P298">
        <v>7</v>
      </c>
      <c r="Q298">
        <v>360</v>
      </c>
      <c r="R298">
        <v>0</v>
      </c>
      <c r="S298">
        <v>4.5815316404343029</v>
      </c>
      <c r="T298" t="str">
        <f t="shared" si="24"/>
        <v>Less than 80%</v>
      </c>
      <c r="U298">
        <v>47.826086956521742</v>
      </c>
      <c r="V298">
        <v>7</v>
      </c>
      <c r="W298">
        <v>0</v>
      </c>
    </row>
    <row r="299" spans="1:23">
      <c r="A299">
        <v>292</v>
      </c>
      <c r="B299">
        <v>18</v>
      </c>
      <c r="C299">
        <v>16.54</v>
      </c>
      <c r="D299">
        <v>71100</v>
      </c>
      <c r="E299">
        <v>41000</v>
      </c>
      <c r="F299">
        <v>1</v>
      </c>
      <c r="G299" t="s">
        <v>16</v>
      </c>
      <c r="H299">
        <v>145000</v>
      </c>
      <c r="I299">
        <v>135000</v>
      </c>
      <c r="J299">
        <v>360</v>
      </c>
      <c r="K299" t="str">
        <f t="shared" si="20"/>
        <v>10-20</v>
      </c>
      <c r="L299" s="13">
        <f t="shared" si="21"/>
        <v>93.103448275862064</v>
      </c>
      <c r="M299" t="str">
        <f t="shared" si="22"/>
        <v>not selected</v>
      </c>
      <c r="N299" t="str">
        <f t="shared" si="23"/>
        <v>not selected</v>
      </c>
      <c r="O299">
        <v>93.103448275862064</v>
      </c>
      <c r="P299">
        <v>22</v>
      </c>
      <c r="Q299">
        <v>360</v>
      </c>
      <c r="R299">
        <v>1</v>
      </c>
      <c r="S299">
        <v>5.5134556427194052</v>
      </c>
      <c r="T299" t="str">
        <f t="shared" si="24"/>
        <v>More than 80%</v>
      </c>
      <c r="U299">
        <v>93.103448275862064</v>
      </c>
      <c r="V299">
        <v>22</v>
      </c>
      <c r="W299">
        <v>1</v>
      </c>
    </row>
    <row r="300" spans="1:23">
      <c r="A300">
        <v>293</v>
      </c>
      <c r="B300">
        <v>4</v>
      </c>
      <c r="C300">
        <v>31.07</v>
      </c>
      <c r="D300">
        <v>68400</v>
      </c>
      <c r="E300">
        <v>155000</v>
      </c>
      <c r="F300">
        <v>0</v>
      </c>
      <c r="G300" t="s">
        <v>16</v>
      </c>
      <c r="H300">
        <v>355000</v>
      </c>
      <c r="I300">
        <v>245000</v>
      </c>
      <c r="J300">
        <v>360</v>
      </c>
      <c r="K300" t="str">
        <f t="shared" si="20"/>
        <v>30-40</v>
      </c>
      <c r="L300" s="13">
        <f t="shared" si="21"/>
        <v>69.014084507042256</v>
      </c>
      <c r="M300" t="str">
        <f t="shared" si="22"/>
        <v>not selected</v>
      </c>
      <c r="N300" t="str">
        <f t="shared" si="23"/>
        <v>not selected</v>
      </c>
      <c r="O300">
        <v>69.014084507042256</v>
      </c>
      <c r="P300">
        <v>38</v>
      </c>
      <c r="Q300">
        <v>360</v>
      </c>
      <c r="R300">
        <v>0</v>
      </c>
      <c r="S300">
        <v>4.9752812075620554</v>
      </c>
      <c r="T300" t="str">
        <f t="shared" si="24"/>
        <v>Less than 80%</v>
      </c>
      <c r="U300">
        <v>69.014084507042256</v>
      </c>
      <c r="V300">
        <v>38</v>
      </c>
      <c r="W300">
        <v>0</v>
      </c>
    </row>
    <row r="301" spans="1:23">
      <c r="A301">
        <v>294</v>
      </c>
      <c r="B301">
        <v>51</v>
      </c>
      <c r="C301">
        <v>73.400000000000006</v>
      </c>
      <c r="D301">
        <v>89400</v>
      </c>
      <c r="E301">
        <v>52000</v>
      </c>
      <c r="F301">
        <v>0</v>
      </c>
      <c r="G301" t="s">
        <v>16</v>
      </c>
      <c r="H301">
        <v>175000</v>
      </c>
      <c r="I301">
        <v>135000</v>
      </c>
      <c r="J301">
        <v>360</v>
      </c>
      <c r="K301" t="str">
        <f t="shared" si="20"/>
        <v>More than 50</v>
      </c>
      <c r="L301" s="13">
        <f t="shared" si="21"/>
        <v>77.142857142857153</v>
      </c>
      <c r="M301" t="str">
        <f t="shared" si="22"/>
        <v>not selected</v>
      </c>
      <c r="N301" t="str">
        <f t="shared" si="23"/>
        <v>not selected</v>
      </c>
      <c r="O301">
        <v>77.142857142857153</v>
      </c>
      <c r="P301">
        <v>34</v>
      </c>
      <c r="Q301">
        <v>360</v>
      </c>
      <c r="R301">
        <v>0</v>
      </c>
      <c r="S301">
        <v>4.2662992679005249</v>
      </c>
      <c r="T301" t="str">
        <f t="shared" si="24"/>
        <v>Less than 80%</v>
      </c>
      <c r="U301">
        <v>77.142857142857153</v>
      </c>
      <c r="V301">
        <v>34</v>
      </c>
      <c r="W301">
        <v>0</v>
      </c>
    </row>
    <row r="302" spans="1:23">
      <c r="A302">
        <v>295</v>
      </c>
      <c r="B302">
        <v>36</v>
      </c>
      <c r="C302">
        <v>41.07</v>
      </c>
      <c r="D302">
        <v>96500</v>
      </c>
      <c r="E302">
        <v>72000</v>
      </c>
      <c r="F302">
        <v>0</v>
      </c>
      <c r="G302" t="s">
        <v>16</v>
      </c>
      <c r="H302">
        <v>645000</v>
      </c>
      <c r="I302">
        <v>475000</v>
      </c>
      <c r="J302">
        <v>360</v>
      </c>
      <c r="K302" t="str">
        <f t="shared" si="20"/>
        <v>40-50</v>
      </c>
      <c r="L302" s="13">
        <f t="shared" si="21"/>
        <v>73.643410852713174</v>
      </c>
      <c r="M302" t="str">
        <f t="shared" si="22"/>
        <v>not selected</v>
      </c>
      <c r="N302" t="str">
        <f t="shared" si="23"/>
        <v>not selected</v>
      </c>
      <c r="O302">
        <v>73.643410852713174</v>
      </c>
      <c r="P302">
        <v>28</v>
      </c>
      <c r="Q302">
        <v>360</v>
      </c>
      <c r="R302">
        <v>0</v>
      </c>
      <c r="S302">
        <v>4.4994864210816239</v>
      </c>
      <c r="T302" t="str">
        <f t="shared" si="24"/>
        <v>Less than 80%</v>
      </c>
      <c r="U302">
        <v>73.643410852713174</v>
      </c>
      <c r="V302">
        <v>28</v>
      </c>
      <c r="W302">
        <v>0</v>
      </c>
    </row>
    <row r="303" spans="1:23">
      <c r="A303">
        <v>296</v>
      </c>
      <c r="B303">
        <v>28</v>
      </c>
      <c r="C303">
        <v>7.37</v>
      </c>
      <c r="D303">
        <v>52700</v>
      </c>
      <c r="E303">
        <v>134000</v>
      </c>
      <c r="F303">
        <v>0</v>
      </c>
      <c r="G303" t="s">
        <v>16</v>
      </c>
      <c r="H303">
        <v>295000</v>
      </c>
      <c r="I303">
        <v>245000</v>
      </c>
      <c r="J303">
        <v>360</v>
      </c>
      <c r="K303" t="str">
        <f t="shared" si="20"/>
        <v>0-10</v>
      </c>
      <c r="L303" s="13">
        <f t="shared" si="21"/>
        <v>83.050847457627114</v>
      </c>
      <c r="M303" t="str">
        <f t="shared" si="22"/>
        <v>not selected</v>
      </c>
      <c r="N303" t="str">
        <f t="shared" si="23"/>
        <v>not selected</v>
      </c>
      <c r="O303">
        <v>83.050847457627114</v>
      </c>
      <c r="P303">
        <v>29</v>
      </c>
      <c r="Q303">
        <v>360</v>
      </c>
      <c r="R303">
        <v>0</v>
      </c>
      <c r="S303">
        <v>4.2072525178506694</v>
      </c>
      <c r="T303" t="str">
        <f t="shared" si="24"/>
        <v>More than 80%</v>
      </c>
      <c r="U303">
        <v>83.050847457627114</v>
      </c>
      <c r="V303">
        <v>29</v>
      </c>
      <c r="W303">
        <v>0</v>
      </c>
    </row>
    <row r="304" spans="1:23">
      <c r="A304">
        <v>297</v>
      </c>
      <c r="B304">
        <v>10</v>
      </c>
      <c r="C304">
        <v>35.01</v>
      </c>
      <c r="D304">
        <v>96600</v>
      </c>
      <c r="E304">
        <v>80000</v>
      </c>
      <c r="F304">
        <v>1</v>
      </c>
      <c r="G304" t="s">
        <v>16</v>
      </c>
      <c r="H304">
        <v>555000</v>
      </c>
      <c r="I304">
        <v>435000</v>
      </c>
      <c r="J304">
        <v>360</v>
      </c>
      <c r="K304" t="str">
        <f t="shared" si="20"/>
        <v>30-40</v>
      </c>
      <c r="L304" s="13">
        <f t="shared" si="21"/>
        <v>78.378378378378372</v>
      </c>
      <c r="M304" t="str">
        <f t="shared" si="22"/>
        <v>not selected</v>
      </c>
      <c r="N304" t="str">
        <f t="shared" si="23"/>
        <v>not selected</v>
      </c>
      <c r="O304">
        <v>78.378378378378372</v>
      </c>
      <c r="P304">
        <v>16</v>
      </c>
      <c r="Q304">
        <v>360</v>
      </c>
      <c r="R304">
        <v>1</v>
      </c>
      <c r="S304">
        <v>5.5882075518717969</v>
      </c>
      <c r="T304" t="str">
        <f t="shared" si="24"/>
        <v>Less than 80%</v>
      </c>
      <c r="U304">
        <v>78.378378378378372</v>
      </c>
      <c r="V304">
        <v>16</v>
      </c>
      <c r="W304">
        <v>1</v>
      </c>
    </row>
    <row r="305" spans="1:23">
      <c r="A305">
        <v>298</v>
      </c>
      <c r="B305">
        <v>28</v>
      </c>
      <c r="C305">
        <v>25.68</v>
      </c>
      <c r="D305">
        <v>52700</v>
      </c>
      <c r="E305">
        <v>132000</v>
      </c>
      <c r="F305">
        <v>0</v>
      </c>
      <c r="G305" t="s">
        <v>16</v>
      </c>
      <c r="H305">
        <v>185000</v>
      </c>
      <c r="I305">
        <v>165000</v>
      </c>
      <c r="J305">
        <v>360</v>
      </c>
      <c r="K305" t="str">
        <f t="shared" si="20"/>
        <v>20-30</v>
      </c>
      <c r="L305" s="13">
        <f t="shared" si="21"/>
        <v>89.189189189189193</v>
      </c>
      <c r="M305" t="str">
        <f t="shared" si="22"/>
        <v>not selected</v>
      </c>
      <c r="N305" t="str">
        <f t="shared" si="23"/>
        <v>not selected</v>
      </c>
      <c r="O305">
        <v>89.189189189189193</v>
      </c>
      <c r="P305">
        <v>30</v>
      </c>
      <c r="Q305">
        <v>360</v>
      </c>
      <c r="R305">
        <v>0</v>
      </c>
      <c r="S305">
        <v>4.3932872464453636</v>
      </c>
      <c r="T305" t="str">
        <f t="shared" si="24"/>
        <v>More than 80%</v>
      </c>
      <c r="U305">
        <v>89.189189189189193</v>
      </c>
      <c r="V305">
        <v>30</v>
      </c>
      <c r="W305">
        <v>0</v>
      </c>
    </row>
    <row r="306" spans="1:23">
      <c r="A306">
        <v>299</v>
      </c>
      <c r="B306">
        <v>6</v>
      </c>
      <c r="C306">
        <v>87.6</v>
      </c>
      <c r="D306">
        <v>83300</v>
      </c>
      <c r="E306">
        <v>82000</v>
      </c>
      <c r="F306">
        <v>0</v>
      </c>
      <c r="G306" t="s">
        <v>16</v>
      </c>
      <c r="H306">
        <v>415000</v>
      </c>
      <c r="I306">
        <v>325000</v>
      </c>
      <c r="J306">
        <v>240</v>
      </c>
      <c r="K306" t="str">
        <f t="shared" si="20"/>
        <v>More than 50</v>
      </c>
      <c r="L306" s="13">
        <f t="shared" si="21"/>
        <v>78.313253012048193</v>
      </c>
      <c r="M306" t="str">
        <f t="shared" si="22"/>
        <v>not selected</v>
      </c>
      <c r="N306" t="str">
        <f t="shared" si="23"/>
        <v>not selected</v>
      </c>
      <c r="O306">
        <v>78.313253012048193</v>
      </c>
      <c r="P306">
        <v>20</v>
      </c>
      <c r="Q306">
        <v>240</v>
      </c>
      <c r="R306">
        <v>0</v>
      </c>
      <c r="S306">
        <v>4.6457141175678522</v>
      </c>
      <c r="T306" t="str">
        <f t="shared" si="24"/>
        <v>Less than 80%</v>
      </c>
      <c r="U306">
        <v>78.313253012048193</v>
      </c>
      <c r="V306">
        <v>20</v>
      </c>
      <c r="W306">
        <v>0</v>
      </c>
    </row>
    <row r="307" spans="1:23">
      <c r="A307">
        <v>300</v>
      </c>
      <c r="B307">
        <v>40</v>
      </c>
      <c r="C307">
        <v>20.05</v>
      </c>
      <c r="D307">
        <v>74000</v>
      </c>
      <c r="E307">
        <v>76000</v>
      </c>
      <c r="F307">
        <v>1</v>
      </c>
      <c r="G307" t="s">
        <v>16</v>
      </c>
      <c r="H307">
        <v>235000</v>
      </c>
      <c r="I307">
        <v>225000</v>
      </c>
      <c r="J307">
        <v>360</v>
      </c>
      <c r="K307" t="str">
        <f t="shared" si="20"/>
        <v>20-30</v>
      </c>
      <c r="L307" s="13">
        <f t="shared" si="21"/>
        <v>95.744680851063833</v>
      </c>
      <c r="M307" t="str">
        <f t="shared" si="22"/>
        <v>not selected</v>
      </c>
      <c r="N307" t="str">
        <f t="shared" si="23"/>
        <v>not selected</v>
      </c>
      <c r="O307">
        <v>95.744680851063833</v>
      </c>
      <c r="P307">
        <v>39</v>
      </c>
      <c r="Q307">
        <v>360</v>
      </c>
      <c r="R307">
        <v>1</v>
      </c>
      <c r="S307">
        <v>4.5313596983712534</v>
      </c>
      <c r="T307" t="str">
        <f t="shared" si="24"/>
        <v>More than 80%</v>
      </c>
      <c r="U307">
        <v>95.744680851063833</v>
      </c>
      <c r="V307">
        <v>39</v>
      </c>
      <c r="W307">
        <v>1</v>
      </c>
    </row>
    <row r="308" spans="1:23">
      <c r="A308">
        <v>301</v>
      </c>
      <c r="B308">
        <v>12</v>
      </c>
      <c r="C308">
        <v>13.79</v>
      </c>
      <c r="D308">
        <v>69200</v>
      </c>
      <c r="E308">
        <v>94000</v>
      </c>
      <c r="F308">
        <v>0</v>
      </c>
      <c r="G308" t="s">
        <v>16</v>
      </c>
      <c r="H308">
        <v>355000</v>
      </c>
      <c r="I308">
        <v>275000</v>
      </c>
      <c r="J308">
        <v>240</v>
      </c>
      <c r="K308" t="str">
        <f t="shared" si="20"/>
        <v>10-20</v>
      </c>
      <c r="L308" s="13">
        <f t="shared" si="21"/>
        <v>77.464788732394368</v>
      </c>
      <c r="M308" t="str">
        <f t="shared" si="22"/>
        <v>not selected</v>
      </c>
      <c r="N308" t="str">
        <f t="shared" si="23"/>
        <v>not selected</v>
      </c>
      <c r="O308">
        <v>77.464788732394368</v>
      </c>
      <c r="P308">
        <v>30</v>
      </c>
      <c r="Q308">
        <v>240</v>
      </c>
      <c r="R308">
        <v>0</v>
      </c>
      <c r="S308">
        <v>4.217254089053398</v>
      </c>
      <c r="T308" t="str">
        <f t="shared" si="24"/>
        <v>Less than 80%</v>
      </c>
      <c r="U308">
        <v>77.464788732394368</v>
      </c>
      <c r="V308">
        <v>30</v>
      </c>
      <c r="W308">
        <v>0</v>
      </c>
    </row>
    <row r="309" spans="1:23">
      <c r="A309">
        <v>302</v>
      </c>
      <c r="B309">
        <v>53</v>
      </c>
      <c r="C309">
        <v>18.100000000000001</v>
      </c>
      <c r="D309">
        <v>92100</v>
      </c>
      <c r="E309">
        <v>83000</v>
      </c>
      <c r="F309">
        <v>0</v>
      </c>
      <c r="G309" t="s">
        <v>16</v>
      </c>
      <c r="H309">
        <v>265000</v>
      </c>
      <c r="I309">
        <v>225000</v>
      </c>
      <c r="J309">
        <v>360</v>
      </c>
      <c r="K309" t="str">
        <f t="shared" si="20"/>
        <v>10-20</v>
      </c>
      <c r="L309" s="13">
        <f t="shared" si="21"/>
        <v>84.905660377358487</v>
      </c>
      <c r="M309" t="str">
        <f t="shared" si="22"/>
        <v>not selected</v>
      </c>
      <c r="N309" t="str">
        <f t="shared" si="23"/>
        <v>not selected</v>
      </c>
      <c r="O309">
        <v>84.905660377358487</v>
      </c>
      <c r="P309">
        <v>11</v>
      </c>
      <c r="Q309">
        <v>360</v>
      </c>
      <c r="R309">
        <v>0</v>
      </c>
      <c r="S309">
        <v>4.3505962248212295</v>
      </c>
      <c r="T309" t="str">
        <f t="shared" si="24"/>
        <v>More than 80%</v>
      </c>
      <c r="U309">
        <v>84.905660377358487</v>
      </c>
      <c r="V309">
        <v>11</v>
      </c>
      <c r="W309">
        <v>0</v>
      </c>
    </row>
    <row r="310" spans="1:23">
      <c r="A310">
        <v>303</v>
      </c>
      <c r="B310">
        <v>37</v>
      </c>
      <c r="C310">
        <v>25.87</v>
      </c>
      <c r="D310">
        <v>64200</v>
      </c>
      <c r="E310">
        <v>226000</v>
      </c>
      <c r="F310">
        <v>0</v>
      </c>
      <c r="G310" t="s">
        <v>16</v>
      </c>
      <c r="H310">
        <v>565000</v>
      </c>
      <c r="I310">
        <v>275000</v>
      </c>
      <c r="J310">
        <v>180</v>
      </c>
      <c r="K310" t="str">
        <f t="shared" si="20"/>
        <v>20-30</v>
      </c>
      <c r="L310" s="13">
        <f t="shared" si="21"/>
        <v>48.672566371681413</v>
      </c>
      <c r="M310" t="str">
        <f t="shared" si="22"/>
        <v>selected</v>
      </c>
      <c r="N310" t="str">
        <f t="shared" si="23"/>
        <v>selected</v>
      </c>
      <c r="O310">
        <v>48.672566371681413</v>
      </c>
      <c r="P310">
        <v>47</v>
      </c>
      <c r="Q310">
        <v>180</v>
      </c>
      <c r="R310">
        <v>0</v>
      </c>
      <c r="S310">
        <v>4.3467569782659501</v>
      </c>
      <c r="T310" t="str">
        <f t="shared" si="24"/>
        <v>Less than 80%</v>
      </c>
      <c r="U310">
        <v>48.672566371681413</v>
      </c>
      <c r="V310">
        <v>47</v>
      </c>
      <c r="W310">
        <v>0</v>
      </c>
    </row>
    <row r="311" spans="1:23">
      <c r="A311">
        <v>304</v>
      </c>
      <c r="B311">
        <v>13</v>
      </c>
      <c r="C311">
        <v>33.17</v>
      </c>
      <c r="D311">
        <v>82200</v>
      </c>
      <c r="E311">
        <v>152000</v>
      </c>
      <c r="F311">
        <v>0</v>
      </c>
      <c r="G311" t="s">
        <v>16</v>
      </c>
      <c r="H311">
        <v>325000</v>
      </c>
      <c r="I311">
        <v>155000</v>
      </c>
      <c r="J311">
        <v>180</v>
      </c>
      <c r="K311" t="str">
        <f t="shared" si="20"/>
        <v>30-40</v>
      </c>
      <c r="L311" s="13">
        <f t="shared" si="21"/>
        <v>47.692307692307693</v>
      </c>
      <c r="M311" t="str">
        <f t="shared" si="22"/>
        <v>selected</v>
      </c>
      <c r="N311" t="str">
        <f t="shared" si="23"/>
        <v>not selected</v>
      </c>
      <c r="O311">
        <v>47.692307692307693</v>
      </c>
      <c r="P311">
        <v>12</v>
      </c>
      <c r="Q311">
        <v>180</v>
      </c>
      <c r="R311">
        <v>0</v>
      </c>
      <c r="S311">
        <v>4.2881907948728131</v>
      </c>
      <c r="T311" t="str">
        <f t="shared" si="24"/>
        <v>Less than 80%</v>
      </c>
      <c r="U311">
        <v>47.692307692307693</v>
      </c>
      <c r="V311">
        <v>12</v>
      </c>
      <c r="W311">
        <v>0</v>
      </c>
    </row>
    <row r="312" spans="1:23">
      <c r="A312">
        <v>305</v>
      </c>
      <c r="B312">
        <v>40</v>
      </c>
      <c r="C312">
        <v>15.41</v>
      </c>
      <c r="D312">
        <v>74000</v>
      </c>
      <c r="E312">
        <v>109000</v>
      </c>
      <c r="F312">
        <v>0</v>
      </c>
      <c r="G312" t="s">
        <v>16</v>
      </c>
      <c r="H312">
        <v>345000</v>
      </c>
      <c r="I312">
        <v>295000</v>
      </c>
      <c r="J312">
        <v>360</v>
      </c>
      <c r="K312" t="str">
        <f t="shared" si="20"/>
        <v>10-20</v>
      </c>
      <c r="L312" s="13">
        <f t="shared" si="21"/>
        <v>85.507246376811594</v>
      </c>
      <c r="M312" t="str">
        <f t="shared" si="22"/>
        <v>not selected</v>
      </c>
      <c r="N312" t="str">
        <f t="shared" si="23"/>
        <v>not selected</v>
      </c>
      <c r="O312">
        <v>85.507246376811594</v>
      </c>
      <c r="P312">
        <v>23</v>
      </c>
      <c r="Q312">
        <v>360</v>
      </c>
      <c r="R312">
        <v>0</v>
      </c>
      <c r="S312">
        <v>4.2626425192059374</v>
      </c>
      <c r="T312" t="str">
        <f t="shared" si="24"/>
        <v>More than 80%</v>
      </c>
      <c r="U312">
        <v>85.507246376811594</v>
      </c>
      <c r="V312">
        <v>23</v>
      </c>
      <c r="W312">
        <v>0</v>
      </c>
    </row>
    <row r="313" spans="1:23">
      <c r="A313">
        <v>306</v>
      </c>
      <c r="B313">
        <v>48</v>
      </c>
      <c r="C313">
        <v>33.94</v>
      </c>
      <c r="D313">
        <v>80000</v>
      </c>
      <c r="E313">
        <v>68000</v>
      </c>
      <c r="F313">
        <v>1</v>
      </c>
      <c r="G313" t="s">
        <v>16</v>
      </c>
      <c r="H313">
        <v>335000</v>
      </c>
      <c r="I313">
        <v>265000</v>
      </c>
      <c r="J313">
        <v>360</v>
      </c>
      <c r="K313" t="str">
        <f t="shared" si="20"/>
        <v>30-40</v>
      </c>
      <c r="L313" s="13">
        <f t="shared" si="21"/>
        <v>79.104477611940297</v>
      </c>
      <c r="M313" t="str">
        <f t="shared" si="22"/>
        <v>not selected</v>
      </c>
      <c r="N313" t="str">
        <f t="shared" si="23"/>
        <v>not selected</v>
      </c>
      <c r="O313">
        <v>79.104477611940297</v>
      </c>
      <c r="P313">
        <v>44</v>
      </c>
      <c r="Q313">
        <v>360</v>
      </c>
      <c r="R313">
        <v>1</v>
      </c>
      <c r="S313">
        <v>5.9284075518814534</v>
      </c>
      <c r="T313" t="str">
        <f t="shared" si="24"/>
        <v>Less than 80%</v>
      </c>
      <c r="U313">
        <v>79.104477611940297</v>
      </c>
      <c r="V313">
        <v>44</v>
      </c>
      <c r="W313">
        <v>1</v>
      </c>
    </row>
    <row r="314" spans="1:23">
      <c r="A314">
        <v>307</v>
      </c>
      <c r="B314">
        <v>6</v>
      </c>
      <c r="C314">
        <v>93.25</v>
      </c>
      <c r="D314">
        <v>83300</v>
      </c>
      <c r="E314">
        <v>35000</v>
      </c>
      <c r="F314">
        <v>0</v>
      </c>
      <c r="G314" t="s">
        <v>16</v>
      </c>
      <c r="H314">
        <v>515000</v>
      </c>
      <c r="I314">
        <v>255000</v>
      </c>
      <c r="J314">
        <v>360</v>
      </c>
      <c r="K314" t="str">
        <f t="shared" si="20"/>
        <v>More than 50</v>
      </c>
      <c r="L314" s="13">
        <f t="shared" si="21"/>
        <v>49.514563106796118</v>
      </c>
      <c r="M314" t="str">
        <f t="shared" si="22"/>
        <v>not selected</v>
      </c>
      <c r="N314" t="str">
        <f t="shared" si="23"/>
        <v>not selected</v>
      </c>
      <c r="O314">
        <v>49.514563106796118</v>
      </c>
      <c r="P314">
        <v>23</v>
      </c>
      <c r="Q314">
        <v>360</v>
      </c>
      <c r="R314">
        <v>0</v>
      </c>
      <c r="S314">
        <v>4.537734878441344</v>
      </c>
      <c r="T314" t="str">
        <f t="shared" si="24"/>
        <v>Less than 80%</v>
      </c>
      <c r="U314">
        <v>49.514563106796118</v>
      </c>
      <c r="V314">
        <v>23</v>
      </c>
      <c r="W314">
        <v>0</v>
      </c>
    </row>
    <row r="315" spans="1:23">
      <c r="A315">
        <v>308</v>
      </c>
      <c r="B315">
        <v>13</v>
      </c>
      <c r="C315">
        <v>2.98</v>
      </c>
      <c r="D315">
        <v>59800</v>
      </c>
      <c r="E315">
        <v>107000</v>
      </c>
      <c r="F315">
        <v>0</v>
      </c>
      <c r="G315" t="s">
        <v>16</v>
      </c>
      <c r="H315">
        <v>545000</v>
      </c>
      <c r="I315">
        <v>465000</v>
      </c>
      <c r="J315">
        <v>360</v>
      </c>
      <c r="K315" t="str">
        <f t="shared" si="20"/>
        <v>0-10</v>
      </c>
      <c r="L315" s="13">
        <f t="shared" si="21"/>
        <v>85.321100917431195</v>
      </c>
      <c r="M315" t="str">
        <f t="shared" si="22"/>
        <v>not selected</v>
      </c>
      <c r="N315" t="str">
        <f t="shared" si="23"/>
        <v>not selected</v>
      </c>
      <c r="O315">
        <v>85.321100917431195</v>
      </c>
      <c r="P315">
        <v>9</v>
      </c>
      <c r="Q315">
        <v>360</v>
      </c>
      <c r="R315">
        <v>0</v>
      </c>
      <c r="S315">
        <v>3.8407139244260318</v>
      </c>
      <c r="T315" t="str">
        <f t="shared" si="24"/>
        <v>More than 80%</v>
      </c>
      <c r="U315">
        <v>85.321100917431195</v>
      </c>
      <c r="V315">
        <v>9</v>
      </c>
      <c r="W315">
        <v>0</v>
      </c>
    </row>
    <row r="316" spans="1:23">
      <c r="A316">
        <v>309</v>
      </c>
      <c r="B316">
        <v>20</v>
      </c>
      <c r="C316">
        <v>20.74</v>
      </c>
      <c r="D316">
        <v>85900</v>
      </c>
      <c r="E316">
        <v>108000</v>
      </c>
      <c r="F316">
        <v>0</v>
      </c>
      <c r="G316" t="s">
        <v>16</v>
      </c>
      <c r="H316">
        <v>275000</v>
      </c>
      <c r="I316">
        <v>205000</v>
      </c>
      <c r="J316">
        <v>360</v>
      </c>
      <c r="K316" t="str">
        <f t="shared" si="20"/>
        <v>20-30</v>
      </c>
      <c r="L316" s="13">
        <f t="shared" si="21"/>
        <v>74.545454545454547</v>
      </c>
      <c r="M316" t="str">
        <f t="shared" si="22"/>
        <v>not selected</v>
      </c>
      <c r="N316" t="str">
        <f t="shared" si="23"/>
        <v>not selected</v>
      </c>
      <c r="O316">
        <v>74.545454545454547</v>
      </c>
      <c r="P316">
        <v>13</v>
      </c>
      <c r="Q316">
        <v>360</v>
      </c>
      <c r="R316">
        <v>0</v>
      </c>
      <c r="S316">
        <v>4.5493808646492457</v>
      </c>
      <c r="T316" t="str">
        <f t="shared" si="24"/>
        <v>Less than 80%</v>
      </c>
      <c r="U316">
        <v>74.545454545454547</v>
      </c>
      <c r="V316">
        <v>13</v>
      </c>
      <c r="W316">
        <v>0</v>
      </c>
    </row>
    <row r="317" spans="1:23">
      <c r="A317">
        <v>310</v>
      </c>
      <c r="B317">
        <v>42</v>
      </c>
      <c r="C317">
        <v>2.67</v>
      </c>
      <c r="D317">
        <v>82300</v>
      </c>
      <c r="E317">
        <v>27000</v>
      </c>
      <c r="F317">
        <v>0</v>
      </c>
      <c r="G317" t="s">
        <v>16</v>
      </c>
      <c r="H317">
        <v>325000</v>
      </c>
      <c r="I317">
        <v>35000</v>
      </c>
      <c r="J317">
        <v>360</v>
      </c>
      <c r="K317" t="str">
        <f t="shared" si="20"/>
        <v>0-10</v>
      </c>
      <c r="L317" s="13">
        <f t="shared" si="21"/>
        <v>10.76923076923077</v>
      </c>
      <c r="M317" t="str">
        <f t="shared" si="22"/>
        <v>not selected</v>
      </c>
      <c r="N317" t="str">
        <f t="shared" si="23"/>
        <v>not selected</v>
      </c>
      <c r="O317">
        <v>10.76923076923077</v>
      </c>
      <c r="P317">
        <v>29</v>
      </c>
      <c r="Q317">
        <v>360</v>
      </c>
      <c r="R317">
        <v>0</v>
      </c>
      <c r="S317">
        <v>4.4806089465962327</v>
      </c>
      <c r="T317" t="str">
        <f t="shared" si="24"/>
        <v>Less than 80%</v>
      </c>
      <c r="U317">
        <v>10.76923076923077</v>
      </c>
      <c r="V317">
        <v>29</v>
      </c>
      <c r="W317">
        <v>0</v>
      </c>
    </row>
    <row r="318" spans="1:23">
      <c r="A318">
        <v>311</v>
      </c>
      <c r="B318">
        <v>26</v>
      </c>
      <c r="C318">
        <v>5.09</v>
      </c>
      <c r="D318">
        <v>79000</v>
      </c>
      <c r="E318">
        <v>82000</v>
      </c>
      <c r="F318">
        <v>0</v>
      </c>
      <c r="G318" t="s">
        <v>16</v>
      </c>
      <c r="H318">
        <v>205000</v>
      </c>
      <c r="I318">
        <v>135000</v>
      </c>
      <c r="J318">
        <v>360</v>
      </c>
      <c r="K318" t="str">
        <f t="shared" si="20"/>
        <v>0-10</v>
      </c>
      <c r="L318" s="13">
        <f t="shared" si="21"/>
        <v>65.853658536585371</v>
      </c>
      <c r="M318" t="str">
        <f t="shared" si="22"/>
        <v>not selected</v>
      </c>
      <c r="N318" t="str">
        <f t="shared" si="23"/>
        <v>not selected</v>
      </c>
      <c r="O318">
        <v>65.853658536585371</v>
      </c>
      <c r="P318">
        <v>34</v>
      </c>
      <c r="Q318">
        <v>360</v>
      </c>
      <c r="R318">
        <v>0</v>
      </c>
      <c r="S318">
        <v>4.4571392687930107</v>
      </c>
      <c r="T318" t="str">
        <f t="shared" si="24"/>
        <v>Less than 80%</v>
      </c>
      <c r="U318">
        <v>65.853658536585371</v>
      </c>
      <c r="V318">
        <v>34</v>
      </c>
      <c r="W318">
        <v>0</v>
      </c>
    </row>
    <row r="319" spans="1:23">
      <c r="A319">
        <v>312</v>
      </c>
      <c r="B319">
        <v>6</v>
      </c>
      <c r="C319">
        <v>98.95</v>
      </c>
      <c r="D319">
        <v>83300</v>
      </c>
      <c r="E319">
        <v>129000</v>
      </c>
      <c r="F319">
        <v>0</v>
      </c>
      <c r="G319" t="s">
        <v>16</v>
      </c>
      <c r="H319">
        <v>1045000</v>
      </c>
      <c r="I319">
        <v>765000</v>
      </c>
      <c r="J319">
        <v>360</v>
      </c>
      <c r="K319" t="str">
        <f t="shared" si="20"/>
        <v>More than 50</v>
      </c>
      <c r="L319" s="13">
        <f t="shared" si="21"/>
        <v>73.205741626794264</v>
      </c>
      <c r="M319" t="str">
        <f t="shared" si="22"/>
        <v>not selected</v>
      </c>
      <c r="N319" t="str">
        <f t="shared" si="23"/>
        <v>not selected</v>
      </c>
      <c r="O319">
        <v>73.205741626794264</v>
      </c>
      <c r="P319">
        <v>23</v>
      </c>
      <c r="Q319">
        <v>360</v>
      </c>
      <c r="R319">
        <v>0</v>
      </c>
      <c r="S319">
        <v>4.1348664653215632</v>
      </c>
      <c r="T319" t="str">
        <f t="shared" si="24"/>
        <v>Less than 80%</v>
      </c>
      <c r="U319">
        <v>73.205741626794264</v>
      </c>
      <c r="V319">
        <v>23</v>
      </c>
      <c r="W319">
        <v>0</v>
      </c>
    </row>
    <row r="320" spans="1:23">
      <c r="A320">
        <v>313</v>
      </c>
      <c r="B320">
        <v>48</v>
      </c>
      <c r="C320">
        <v>25.81</v>
      </c>
      <c r="D320">
        <v>97600</v>
      </c>
      <c r="E320">
        <v>122000</v>
      </c>
      <c r="F320">
        <v>0</v>
      </c>
      <c r="G320" t="s">
        <v>16</v>
      </c>
      <c r="H320">
        <v>395000</v>
      </c>
      <c r="I320">
        <v>355000</v>
      </c>
      <c r="J320">
        <v>360</v>
      </c>
      <c r="K320" t="str">
        <f t="shared" si="20"/>
        <v>20-30</v>
      </c>
      <c r="L320" s="13">
        <f t="shared" si="21"/>
        <v>89.87341772151899</v>
      </c>
      <c r="M320" t="str">
        <f t="shared" si="22"/>
        <v>not selected</v>
      </c>
      <c r="N320" t="str">
        <f t="shared" si="23"/>
        <v>not selected</v>
      </c>
      <c r="O320">
        <v>89.87341772151899</v>
      </c>
      <c r="P320">
        <v>40</v>
      </c>
      <c r="Q320">
        <v>360</v>
      </c>
      <c r="R320">
        <v>0</v>
      </c>
      <c r="S320">
        <v>4.2157871822810513</v>
      </c>
      <c r="T320" t="str">
        <f t="shared" si="24"/>
        <v>More than 80%</v>
      </c>
      <c r="U320">
        <v>89.87341772151899</v>
      </c>
      <c r="V320">
        <v>40</v>
      </c>
      <c r="W320">
        <v>0</v>
      </c>
    </row>
    <row r="321" spans="1:23">
      <c r="A321">
        <v>314</v>
      </c>
      <c r="B321">
        <v>17</v>
      </c>
      <c r="C321">
        <v>8.44</v>
      </c>
      <c r="D321">
        <v>89100</v>
      </c>
      <c r="E321">
        <v>64000</v>
      </c>
      <c r="F321">
        <v>0</v>
      </c>
      <c r="G321" t="s">
        <v>16</v>
      </c>
      <c r="H321">
        <v>275000</v>
      </c>
      <c r="I321">
        <v>105000</v>
      </c>
      <c r="J321">
        <v>360</v>
      </c>
      <c r="K321" t="str">
        <f t="shared" si="20"/>
        <v>0-10</v>
      </c>
      <c r="L321" s="13">
        <f t="shared" si="21"/>
        <v>38.181818181818187</v>
      </c>
      <c r="M321" t="str">
        <f t="shared" si="22"/>
        <v>not selected</v>
      </c>
      <c r="N321" t="str">
        <f t="shared" si="23"/>
        <v>not selected</v>
      </c>
      <c r="O321">
        <v>38.181818181818187</v>
      </c>
      <c r="P321">
        <v>35</v>
      </c>
      <c r="Q321">
        <v>360</v>
      </c>
      <c r="R321">
        <v>0</v>
      </c>
      <c r="S321">
        <v>3.7743886752884057</v>
      </c>
      <c r="T321" t="str">
        <f t="shared" si="24"/>
        <v>Less than 80%</v>
      </c>
      <c r="U321">
        <v>38.181818181818187</v>
      </c>
      <c r="V321">
        <v>35</v>
      </c>
      <c r="W321">
        <v>0</v>
      </c>
    </row>
    <row r="322" spans="1:23">
      <c r="A322">
        <v>315</v>
      </c>
      <c r="B322">
        <v>25</v>
      </c>
      <c r="C322">
        <v>13.25</v>
      </c>
      <c r="D322">
        <v>114000</v>
      </c>
      <c r="E322">
        <v>65000</v>
      </c>
      <c r="F322">
        <v>1</v>
      </c>
      <c r="G322" t="s">
        <v>16</v>
      </c>
      <c r="H322">
        <v>315000</v>
      </c>
      <c r="I322">
        <v>275000</v>
      </c>
      <c r="J322">
        <v>360</v>
      </c>
      <c r="K322" t="str">
        <f t="shared" si="20"/>
        <v>10-20</v>
      </c>
      <c r="L322" s="13">
        <f t="shared" si="21"/>
        <v>87.301587301587304</v>
      </c>
      <c r="M322" t="str">
        <f t="shared" si="22"/>
        <v>not selected</v>
      </c>
      <c r="N322" t="str">
        <f t="shared" si="23"/>
        <v>not selected</v>
      </c>
      <c r="O322">
        <v>87.301587301587304</v>
      </c>
      <c r="P322">
        <v>37</v>
      </c>
      <c r="Q322">
        <v>360</v>
      </c>
      <c r="R322">
        <v>1</v>
      </c>
      <c r="S322">
        <v>4.143893548119971</v>
      </c>
      <c r="T322" t="str">
        <f t="shared" si="24"/>
        <v>More than 80%</v>
      </c>
      <c r="U322">
        <v>87.301587301587304</v>
      </c>
      <c r="V322">
        <v>37</v>
      </c>
      <c r="W322">
        <v>1</v>
      </c>
    </row>
    <row r="323" spans="1:23">
      <c r="A323">
        <v>316</v>
      </c>
      <c r="B323">
        <v>53</v>
      </c>
      <c r="C323">
        <v>14.29</v>
      </c>
      <c r="D323">
        <v>91700</v>
      </c>
      <c r="E323">
        <v>59000</v>
      </c>
      <c r="F323">
        <v>0</v>
      </c>
      <c r="G323" t="s">
        <v>16</v>
      </c>
      <c r="H323">
        <v>325000</v>
      </c>
      <c r="I323">
        <v>165000</v>
      </c>
      <c r="J323">
        <v>360</v>
      </c>
      <c r="K323" t="str">
        <f t="shared" si="20"/>
        <v>10-20</v>
      </c>
      <c r="L323" s="13">
        <f t="shared" si="21"/>
        <v>50.769230769230766</v>
      </c>
      <c r="M323" t="str">
        <f t="shared" si="22"/>
        <v>not selected</v>
      </c>
      <c r="N323" t="str">
        <f t="shared" si="23"/>
        <v>not selected</v>
      </c>
      <c r="O323">
        <v>50.769230769230766</v>
      </c>
      <c r="P323">
        <v>42</v>
      </c>
      <c r="Q323">
        <v>360</v>
      </c>
      <c r="R323">
        <v>0</v>
      </c>
      <c r="S323">
        <v>5.3498652686778581</v>
      </c>
      <c r="T323" t="str">
        <f t="shared" si="24"/>
        <v>Less than 80%</v>
      </c>
      <c r="U323">
        <v>50.769230769230766</v>
      </c>
      <c r="V323">
        <v>42</v>
      </c>
      <c r="W323">
        <v>0</v>
      </c>
    </row>
    <row r="324" spans="1:23">
      <c r="A324">
        <v>317</v>
      </c>
      <c r="B324">
        <v>48</v>
      </c>
      <c r="C324">
        <v>12.2</v>
      </c>
      <c r="D324">
        <v>84800</v>
      </c>
      <c r="E324">
        <v>151000</v>
      </c>
      <c r="F324">
        <v>0</v>
      </c>
      <c r="G324" t="s">
        <v>16</v>
      </c>
      <c r="H324">
        <v>255000</v>
      </c>
      <c r="I324">
        <v>205000</v>
      </c>
      <c r="J324">
        <v>360</v>
      </c>
      <c r="K324" t="str">
        <f t="shared" si="20"/>
        <v>10-20</v>
      </c>
      <c r="L324" s="13">
        <f t="shared" si="21"/>
        <v>80.392156862745097</v>
      </c>
      <c r="M324" t="str">
        <f t="shared" si="22"/>
        <v>not selected</v>
      </c>
      <c r="N324" t="str">
        <f t="shared" si="23"/>
        <v>not selected</v>
      </c>
      <c r="O324">
        <v>80.392156862745097</v>
      </c>
      <c r="P324">
        <v>26</v>
      </c>
      <c r="Q324">
        <v>360</v>
      </c>
      <c r="R324">
        <v>0</v>
      </c>
      <c r="S324">
        <v>5.0725682530276535</v>
      </c>
      <c r="T324" t="str">
        <f t="shared" si="24"/>
        <v>More than 80%</v>
      </c>
      <c r="U324">
        <v>80.392156862745097</v>
      </c>
      <c r="V324">
        <v>26</v>
      </c>
      <c r="W324">
        <v>0</v>
      </c>
    </row>
    <row r="325" spans="1:23">
      <c r="A325">
        <v>318</v>
      </c>
      <c r="B325">
        <v>41</v>
      </c>
      <c r="C325">
        <v>20.25</v>
      </c>
      <c r="D325">
        <v>92100</v>
      </c>
      <c r="E325">
        <v>68000</v>
      </c>
      <c r="F325">
        <v>1</v>
      </c>
      <c r="G325" t="s">
        <v>16</v>
      </c>
      <c r="H325">
        <v>335000</v>
      </c>
      <c r="I325">
        <v>315000</v>
      </c>
      <c r="J325">
        <v>360</v>
      </c>
      <c r="K325" t="str">
        <f t="shared" si="20"/>
        <v>20-30</v>
      </c>
      <c r="L325" s="13">
        <f t="shared" si="21"/>
        <v>94.029850746268664</v>
      </c>
      <c r="M325" t="str">
        <f t="shared" si="22"/>
        <v>not selected</v>
      </c>
      <c r="N325" t="str">
        <f t="shared" si="23"/>
        <v>not selected</v>
      </c>
      <c r="O325">
        <v>94.029850746268664</v>
      </c>
      <c r="P325">
        <v>47</v>
      </c>
      <c r="Q325">
        <v>360</v>
      </c>
      <c r="R325">
        <v>1</v>
      </c>
      <c r="S325">
        <v>6.2886767223608118</v>
      </c>
      <c r="T325" t="str">
        <f t="shared" si="24"/>
        <v>More than 80%</v>
      </c>
      <c r="U325">
        <v>94.029850746268664</v>
      </c>
      <c r="V325">
        <v>47</v>
      </c>
      <c r="W325">
        <v>1</v>
      </c>
    </row>
    <row r="326" spans="1:23">
      <c r="A326">
        <v>319</v>
      </c>
      <c r="B326">
        <v>39</v>
      </c>
      <c r="C326">
        <v>22.44</v>
      </c>
      <c r="D326">
        <v>84600</v>
      </c>
      <c r="E326">
        <v>51000</v>
      </c>
      <c r="F326">
        <v>0</v>
      </c>
      <c r="G326" t="s">
        <v>16</v>
      </c>
      <c r="H326">
        <v>185000</v>
      </c>
      <c r="I326">
        <v>145000</v>
      </c>
      <c r="J326">
        <v>360</v>
      </c>
      <c r="K326" t="str">
        <f t="shared" si="20"/>
        <v>20-30</v>
      </c>
      <c r="L326" s="13">
        <f t="shared" si="21"/>
        <v>78.378378378378372</v>
      </c>
      <c r="M326" t="str">
        <f t="shared" si="22"/>
        <v>not selected</v>
      </c>
      <c r="N326" t="str">
        <f t="shared" si="23"/>
        <v>not selected</v>
      </c>
      <c r="O326">
        <v>78.378378378378372</v>
      </c>
      <c r="P326">
        <v>65</v>
      </c>
      <c r="Q326">
        <v>360</v>
      </c>
      <c r="R326">
        <v>0</v>
      </c>
      <c r="S326">
        <v>4.636301972427102</v>
      </c>
      <c r="T326" t="str">
        <f t="shared" si="24"/>
        <v>Less than 80%</v>
      </c>
      <c r="U326">
        <v>78.378378378378372</v>
      </c>
      <c r="V326">
        <v>65</v>
      </c>
      <c r="W326">
        <v>0</v>
      </c>
    </row>
    <row r="327" spans="1:23">
      <c r="A327">
        <v>320</v>
      </c>
      <c r="B327">
        <v>23</v>
      </c>
      <c r="C327">
        <v>17.5</v>
      </c>
      <c r="D327">
        <v>92300</v>
      </c>
      <c r="E327">
        <v>65000</v>
      </c>
      <c r="F327">
        <v>0</v>
      </c>
      <c r="G327" t="s">
        <v>16</v>
      </c>
      <c r="H327">
        <v>275000</v>
      </c>
      <c r="I327">
        <v>215000</v>
      </c>
      <c r="J327">
        <v>360</v>
      </c>
      <c r="K327" t="str">
        <f t="shared" si="20"/>
        <v>10-20</v>
      </c>
      <c r="L327" s="13">
        <f t="shared" si="21"/>
        <v>78.181818181818187</v>
      </c>
      <c r="M327" t="str">
        <f t="shared" si="22"/>
        <v>not selected</v>
      </c>
      <c r="N327" t="str">
        <f t="shared" si="23"/>
        <v>not selected</v>
      </c>
      <c r="O327">
        <v>78.181818181818187</v>
      </c>
      <c r="P327">
        <v>22</v>
      </c>
      <c r="Q327">
        <v>360</v>
      </c>
      <c r="R327">
        <v>0</v>
      </c>
      <c r="S327">
        <v>4.5182697556369824</v>
      </c>
      <c r="T327" t="str">
        <f t="shared" si="24"/>
        <v>Less than 80%</v>
      </c>
      <c r="U327">
        <v>78.181818181818187</v>
      </c>
      <c r="V327">
        <v>22</v>
      </c>
      <c r="W327">
        <v>0</v>
      </c>
    </row>
    <row r="328" spans="1:23">
      <c r="A328">
        <v>321</v>
      </c>
      <c r="B328">
        <v>17</v>
      </c>
      <c r="C328">
        <v>12.86</v>
      </c>
      <c r="D328">
        <v>89100</v>
      </c>
      <c r="E328">
        <v>88000</v>
      </c>
      <c r="F328">
        <v>0</v>
      </c>
      <c r="G328" t="s">
        <v>16</v>
      </c>
      <c r="H328">
        <v>245000</v>
      </c>
      <c r="I328">
        <v>115000</v>
      </c>
      <c r="J328">
        <v>120</v>
      </c>
      <c r="K328" t="str">
        <f t="shared" ref="K328:K391" si="25">IF(C328&gt;=50,"More than 50",IF(C328&gt;=40,"40-50",IF(C328&gt;=30,"30-40",IF(C328&gt;=20,"20-30",IF(C328&gt;=10,"10-20","0-10")))))</f>
        <v>10-20</v>
      </c>
      <c r="L328" s="13">
        <f t="shared" ref="L328:L391" si="26">(I328/H328)*100</f>
        <v>46.938775510204081</v>
      </c>
      <c r="M328" t="str">
        <f t="shared" si="22"/>
        <v>selected</v>
      </c>
      <c r="N328" t="str">
        <f t="shared" si="23"/>
        <v>not selected</v>
      </c>
      <c r="O328">
        <v>46.938775510204081</v>
      </c>
      <c r="P328">
        <v>25</v>
      </c>
      <c r="Q328">
        <v>120</v>
      </c>
      <c r="R328">
        <v>0</v>
      </c>
      <c r="S328">
        <v>4.8722971842686675</v>
      </c>
      <c r="T328" t="str">
        <f t="shared" si="24"/>
        <v>Less than 80%</v>
      </c>
      <c r="U328">
        <v>46.938775510204081</v>
      </c>
      <c r="V328">
        <v>25</v>
      </c>
      <c r="W328">
        <v>0</v>
      </c>
    </row>
    <row r="329" spans="1:23">
      <c r="A329">
        <v>322</v>
      </c>
      <c r="B329">
        <v>21</v>
      </c>
      <c r="C329">
        <v>7.27</v>
      </c>
      <c r="D329">
        <v>85200</v>
      </c>
      <c r="E329">
        <v>107000</v>
      </c>
      <c r="F329">
        <v>0</v>
      </c>
      <c r="G329" t="s">
        <v>16</v>
      </c>
      <c r="H329">
        <v>185000</v>
      </c>
      <c r="I329">
        <v>105000</v>
      </c>
      <c r="J329">
        <v>180</v>
      </c>
      <c r="K329" t="str">
        <f t="shared" si="25"/>
        <v>0-10</v>
      </c>
      <c r="L329" s="13">
        <f t="shared" si="26"/>
        <v>56.756756756756758</v>
      </c>
      <c r="M329" t="str">
        <f t="shared" ref="M329:M392" si="27">IF(AND(L329&lt;=80,J329&lt;=180),"selected","not selected")</f>
        <v>selected</v>
      </c>
      <c r="N329" t="str">
        <f t="shared" ref="N329:N392" si="28">IF(AND(L329&lt;=80,E329&gt;=222400),"selected","not selected")</f>
        <v>not selected</v>
      </c>
      <c r="O329">
        <v>56.756756756756758</v>
      </c>
      <c r="P329">
        <v>33.443836177667201</v>
      </c>
      <c r="Q329">
        <v>180</v>
      </c>
      <c r="R329">
        <v>0</v>
      </c>
      <c r="S329">
        <v>4.2459952080084653</v>
      </c>
      <c r="T329" t="str">
        <f t="shared" ref="T329:T392" si="29">IF(L329&gt;=80,"More than 80%","Less than 80%")</f>
        <v>Less than 80%</v>
      </c>
      <c r="U329">
        <v>56.756756756756758</v>
      </c>
      <c r="V329">
        <v>33.443836177667201</v>
      </c>
      <c r="W329">
        <v>0</v>
      </c>
    </row>
    <row r="330" spans="1:23">
      <c r="A330">
        <v>323</v>
      </c>
      <c r="B330">
        <v>22</v>
      </c>
      <c r="C330">
        <v>14.2</v>
      </c>
      <c r="D330">
        <v>62800</v>
      </c>
      <c r="E330">
        <v>125000</v>
      </c>
      <c r="F330">
        <v>0</v>
      </c>
      <c r="G330" t="s">
        <v>16</v>
      </c>
      <c r="H330">
        <v>365000</v>
      </c>
      <c r="I330">
        <v>285000</v>
      </c>
      <c r="J330">
        <v>360</v>
      </c>
      <c r="K330" t="str">
        <f t="shared" si="25"/>
        <v>10-20</v>
      </c>
      <c r="L330" s="13">
        <f t="shared" si="26"/>
        <v>78.082191780821915</v>
      </c>
      <c r="M330" t="str">
        <f t="shared" si="27"/>
        <v>not selected</v>
      </c>
      <c r="N330" t="str">
        <f t="shared" si="28"/>
        <v>not selected</v>
      </c>
      <c r="O330">
        <v>78.082191780821915</v>
      </c>
      <c r="P330">
        <v>54</v>
      </c>
      <c r="Q330">
        <v>360</v>
      </c>
      <c r="R330">
        <v>0</v>
      </c>
      <c r="S330">
        <v>4.7073328084569468</v>
      </c>
      <c r="T330" t="str">
        <f t="shared" si="29"/>
        <v>Less than 80%</v>
      </c>
      <c r="U330">
        <v>78.082191780821915</v>
      </c>
      <c r="V330">
        <v>54</v>
      </c>
      <c r="W330">
        <v>0</v>
      </c>
    </row>
    <row r="331" spans="1:23">
      <c r="A331">
        <v>324</v>
      </c>
      <c r="B331">
        <v>6</v>
      </c>
      <c r="C331">
        <v>13.79</v>
      </c>
      <c r="D331">
        <v>80400</v>
      </c>
      <c r="E331">
        <v>46000</v>
      </c>
      <c r="F331">
        <v>0</v>
      </c>
      <c r="G331" t="s">
        <v>16</v>
      </c>
      <c r="H331">
        <v>245000</v>
      </c>
      <c r="I331">
        <v>85000</v>
      </c>
      <c r="J331">
        <v>240</v>
      </c>
      <c r="K331" t="str">
        <f t="shared" si="25"/>
        <v>10-20</v>
      </c>
      <c r="L331" s="13">
        <f t="shared" si="26"/>
        <v>34.693877551020407</v>
      </c>
      <c r="M331" t="str">
        <f t="shared" si="27"/>
        <v>not selected</v>
      </c>
      <c r="N331" t="str">
        <f t="shared" si="28"/>
        <v>not selected</v>
      </c>
      <c r="O331">
        <v>34.693877551020407</v>
      </c>
      <c r="P331">
        <v>26</v>
      </c>
      <c r="Q331">
        <v>240</v>
      </c>
      <c r="R331">
        <v>0</v>
      </c>
      <c r="S331">
        <v>4.4699973140761573</v>
      </c>
      <c r="T331" t="str">
        <f t="shared" si="29"/>
        <v>Less than 80%</v>
      </c>
      <c r="U331">
        <v>34.693877551020407</v>
      </c>
      <c r="V331">
        <v>26</v>
      </c>
      <c r="W331">
        <v>0</v>
      </c>
    </row>
    <row r="332" spans="1:23">
      <c r="A332">
        <v>325</v>
      </c>
      <c r="B332">
        <v>6</v>
      </c>
      <c r="C332">
        <v>31.74</v>
      </c>
      <c r="D332">
        <v>92700</v>
      </c>
      <c r="E332">
        <v>130000</v>
      </c>
      <c r="F332">
        <v>1</v>
      </c>
      <c r="G332" t="s">
        <v>16</v>
      </c>
      <c r="H332">
        <v>335000</v>
      </c>
      <c r="I332">
        <v>275000</v>
      </c>
      <c r="J332">
        <v>360</v>
      </c>
      <c r="K332" t="str">
        <f t="shared" si="25"/>
        <v>30-40</v>
      </c>
      <c r="L332" s="13">
        <f t="shared" si="26"/>
        <v>82.089552238805979</v>
      </c>
      <c r="M332" t="str">
        <f t="shared" si="27"/>
        <v>not selected</v>
      </c>
      <c r="N332" t="str">
        <f t="shared" si="28"/>
        <v>not selected</v>
      </c>
      <c r="O332">
        <v>82.089552238805979</v>
      </c>
      <c r="P332">
        <v>38</v>
      </c>
      <c r="Q332">
        <v>360</v>
      </c>
      <c r="R332">
        <v>1</v>
      </c>
      <c r="S332">
        <v>5.3498803514670303</v>
      </c>
      <c r="T332" t="str">
        <f t="shared" si="29"/>
        <v>More than 80%</v>
      </c>
      <c r="U332">
        <v>82.089552238805979</v>
      </c>
      <c r="V332">
        <v>38</v>
      </c>
      <c r="W332">
        <v>1</v>
      </c>
    </row>
    <row r="333" spans="1:23">
      <c r="A333">
        <v>326</v>
      </c>
      <c r="B333">
        <v>26</v>
      </c>
      <c r="C333">
        <v>5.74</v>
      </c>
      <c r="D333">
        <v>79000</v>
      </c>
      <c r="E333">
        <v>59000</v>
      </c>
      <c r="F333">
        <v>0</v>
      </c>
      <c r="G333" t="s">
        <v>16</v>
      </c>
      <c r="H333">
        <v>235000</v>
      </c>
      <c r="I333">
        <v>165000</v>
      </c>
      <c r="J333">
        <v>360</v>
      </c>
      <c r="K333" t="str">
        <f t="shared" si="25"/>
        <v>0-10</v>
      </c>
      <c r="L333" s="13">
        <f t="shared" si="26"/>
        <v>70.212765957446805</v>
      </c>
      <c r="M333" t="str">
        <f t="shared" si="27"/>
        <v>not selected</v>
      </c>
      <c r="N333" t="str">
        <f t="shared" si="28"/>
        <v>not selected</v>
      </c>
      <c r="O333">
        <v>70.212765957446805</v>
      </c>
      <c r="P333">
        <v>36</v>
      </c>
      <c r="Q333">
        <v>360</v>
      </c>
      <c r="R333">
        <v>0</v>
      </c>
      <c r="S333">
        <v>5.6313322759265176</v>
      </c>
      <c r="T333" t="str">
        <f t="shared" si="29"/>
        <v>Less than 80%</v>
      </c>
      <c r="U333">
        <v>70.212765957446805</v>
      </c>
      <c r="V333">
        <v>36</v>
      </c>
      <c r="W333">
        <v>0</v>
      </c>
    </row>
    <row r="334" spans="1:23">
      <c r="A334">
        <v>327</v>
      </c>
      <c r="B334">
        <v>4</v>
      </c>
      <c r="C334">
        <v>18.23</v>
      </c>
      <c r="D334">
        <v>77800</v>
      </c>
      <c r="E334">
        <v>88000</v>
      </c>
      <c r="F334">
        <v>0</v>
      </c>
      <c r="G334" t="s">
        <v>16</v>
      </c>
      <c r="H334">
        <v>355000</v>
      </c>
      <c r="I334">
        <v>335000</v>
      </c>
      <c r="J334">
        <v>360</v>
      </c>
      <c r="K334" t="str">
        <f t="shared" si="25"/>
        <v>10-20</v>
      </c>
      <c r="L334" s="13">
        <f t="shared" si="26"/>
        <v>94.366197183098592</v>
      </c>
      <c r="M334" t="str">
        <f t="shared" si="27"/>
        <v>not selected</v>
      </c>
      <c r="N334" t="str">
        <f t="shared" si="28"/>
        <v>not selected</v>
      </c>
      <c r="O334">
        <v>94.366197183098592</v>
      </c>
      <c r="P334">
        <v>36</v>
      </c>
      <c r="Q334">
        <v>360</v>
      </c>
      <c r="R334">
        <v>0</v>
      </c>
      <c r="S334">
        <v>5.0004600318690535</v>
      </c>
      <c r="T334" t="str">
        <f t="shared" si="29"/>
        <v>More than 80%</v>
      </c>
      <c r="U334">
        <v>94.366197183098592</v>
      </c>
      <c r="V334">
        <v>36</v>
      </c>
      <c r="W334">
        <v>0</v>
      </c>
    </row>
    <row r="335" spans="1:23">
      <c r="A335">
        <v>328</v>
      </c>
      <c r="B335">
        <v>48</v>
      </c>
      <c r="C335">
        <v>22.84</v>
      </c>
      <c r="D335">
        <v>64700</v>
      </c>
      <c r="E335">
        <v>105000</v>
      </c>
      <c r="F335">
        <v>0</v>
      </c>
      <c r="G335" t="s">
        <v>16</v>
      </c>
      <c r="H335">
        <v>455000</v>
      </c>
      <c r="I335">
        <v>275000</v>
      </c>
      <c r="J335">
        <v>180</v>
      </c>
      <c r="K335" t="str">
        <f t="shared" si="25"/>
        <v>20-30</v>
      </c>
      <c r="L335" s="13">
        <f t="shared" si="26"/>
        <v>60.439560439560438</v>
      </c>
      <c r="M335" t="str">
        <f t="shared" si="27"/>
        <v>selected</v>
      </c>
      <c r="N335" t="str">
        <f t="shared" si="28"/>
        <v>not selected</v>
      </c>
      <c r="O335">
        <v>60.439560439560438</v>
      </c>
      <c r="P335">
        <v>31</v>
      </c>
      <c r="Q335">
        <v>180</v>
      </c>
      <c r="R335">
        <v>0</v>
      </c>
      <c r="S335">
        <v>3.8262623971586542</v>
      </c>
      <c r="T335" t="str">
        <f t="shared" si="29"/>
        <v>Less than 80%</v>
      </c>
      <c r="U335">
        <v>60.439560439560438</v>
      </c>
      <c r="V335">
        <v>31</v>
      </c>
      <c r="W335">
        <v>0</v>
      </c>
    </row>
    <row r="336" spans="1:23">
      <c r="A336">
        <v>329</v>
      </c>
      <c r="B336">
        <v>6</v>
      </c>
      <c r="C336">
        <v>62.31</v>
      </c>
      <c r="D336">
        <v>139800</v>
      </c>
      <c r="E336">
        <v>222000</v>
      </c>
      <c r="F336">
        <v>0</v>
      </c>
      <c r="G336" t="s">
        <v>16</v>
      </c>
      <c r="H336">
        <v>715000</v>
      </c>
      <c r="I336">
        <v>575000</v>
      </c>
      <c r="J336">
        <v>360</v>
      </c>
      <c r="K336" t="str">
        <f t="shared" si="25"/>
        <v>More than 50</v>
      </c>
      <c r="L336" s="13">
        <f t="shared" si="26"/>
        <v>80.419580419580413</v>
      </c>
      <c r="M336" t="str">
        <f t="shared" si="27"/>
        <v>not selected</v>
      </c>
      <c r="N336" t="str">
        <f t="shared" si="28"/>
        <v>not selected</v>
      </c>
      <c r="O336">
        <v>80.419580419580413</v>
      </c>
      <c r="P336">
        <v>33</v>
      </c>
      <c r="Q336">
        <v>360</v>
      </c>
      <c r="R336">
        <v>0</v>
      </c>
      <c r="S336">
        <v>4.4690192770304131</v>
      </c>
      <c r="T336" t="str">
        <f t="shared" si="29"/>
        <v>More than 80%</v>
      </c>
      <c r="U336">
        <v>80.419580419580413</v>
      </c>
      <c r="V336">
        <v>33</v>
      </c>
      <c r="W336">
        <v>0</v>
      </c>
    </row>
    <row r="337" spans="1:23">
      <c r="A337">
        <v>330</v>
      </c>
      <c r="B337">
        <v>12</v>
      </c>
      <c r="C337">
        <v>17.93</v>
      </c>
      <c r="D337">
        <v>68100</v>
      </c>
      <c r="E337">
        <v>100000</v>
      </c>
      <c r="F337">
        <v>0</v>
      </c>
      <c r="G337" t="s">
        <v>16</v>
      </c>
      <c r="H337">
        <v>255000</v>
      </c>
      <c r="I337">
        <v>205000</v>
      </c>
      <c r="J337">
        <v>360</v>
      </c>
      <c r="K337" t="str">
        <f t="shared" si="25"/>
        <v>10-20</v>
      </c>
      <c r="L337" s="13">
        <f t="shared" si="26"/>
        <v>80.392156862745097</v>
      </c>
      <c r="M337" t="str">
        <f t="shared" si="27"/>
        <v>not selected</v>
      </c>
      <c r="N337" t="str">
        <f t="shared" si="28"/>
        <v>not selected</v>
      </c>
      <c r="O337">
        <v>80.392156862745097</v>
      </c>
      <c r="P337">
        <v>35</v>
      </c>
      <c r="Q337">
        <v>360</v>
      </c>
      <c r="R337">
        <v>0</v>
      </c>
      <c r="S337">
        <v>4.2483341246942787</v>
      </c>
      <c r="T337" t="str">
        <f t="shared" si="29"/>
        <v>More than 80%</v>
      </c>
      <c r="U337">
        <v>80.392156862745097</v>
      </c>
      <c r="V337">
        <v>35</v>
      </c>
      <c r="W337">
        <v>0</v>
      </c>
    </row>
    <row r="338" spans="1:23">
      <c r="A338">
        <v>331</v>
      </c>
      <c r="B338">
        <v>34</v>
      </c>
      <c r="C338">
        <v>29.38</v>
      </c>
      <c r="D338">
        <v>96500</v>
      </c>
      <c r="E338">
        <v>93000</v>
      </c>
      <c r="F338">
        <v>0</v>
      </c>
      <c r="G338" t="s">
        <v>16</v>
      </c>
      <c r="H338">
        <v>655000</v>
      </c>
      <c r="I338">
        <v>245000</v>
      </c>
      <c r="J338">
        <v>180</v>
      </c>
      <c r="K338" t="str">
        <f t="shared" si="25"/>
        <v>20-30</v>
      </c>
      <c r="L338" s="13">
        <f t="shared" si="26"/>
        <v>37.404580152671755</v>
      </c>
      <c r="M338" t="str">
        <f t="shared" si="27"/>
        <v>selected</v>
      </c>
      <c r="N338" t="str">
        <f t="shared" si="28"/>
        <v>not selected</v>
      </c>
      <c r="O338">
        <v>37.404580152671755</v>
      </c>
      <c r="P338">
        <v>42</v>
      </c>
      <c r="Q338">
        <v>180</v>
      </c>
      <c r="R338">
        <v>0</v>
      </c>
      <c r="S338">
        <v>4.6157834227178327</v>
      </c>
      <c r="T338" t="str">
        <f t="shared" si="29"/>
        <v>Less than 80%</v>
      </c>
      <c r="U338">
        <v>37.404580152671755</v>
      </c>
      <c r="V338">
        <v>42</v>
      </c>
      <c r="W338">
        <v>0</v>
      </c>
    </row>
    <row r="339" spans="1:23">
      <c r="A339">
        <v>332</v>
      </c>
      <c r="B339">
        <v>6</v>
      </c>
      <c r="C339">
        <v>33.04</v>
      </c>
      <c r="D339">
        <v>75000</v>
      </c>
      <c r="E339">
        <v>85000</v>
      </c>
      <c r="F339">
        <v>0</v>
      </c>
      <c r="G339" t="s">
        <v>16</v>
      </c>
      <c r="H339">
        <v>475000</v>
      </c>
      <c r="I339">
        <v>275000</v>
      </c>
      <c r="J339">
        <v>360</v>
      </c>
      <c r="K339" t="str">
        <f t="shared" si="25"/>
        <v>30-40</v>
      </c>
      <c r="L339" s="13">
        <f t="shared" si="26"/>
        <v>57.894736842105267</v>
      </c>
      <c r="M339" t="str">
        <f t="shared" si="27"/>
        <v>not selected</v>
      </c>
      <c r="N339" t="str">
        <f t="shared" si="28"/>
        <v>not selected</v>
      </c>
      <c r="O339">
        <v>57.894736842105267</v>
      </c>
      <c r="P339">
        <v>41</v>
      </c>
      <c r="Q339">
        <v>360</v>
      </c>
      <c r="R339">
        <v>0</v>
      </c>
      <c r="S339">
        <v>4.7288645870341526</v>
      </c>
      <c r="T339" t="str">
        <f t="shared" si="29"/>
        <v>Less than 80%</v>
      </c>
      <c r="U339">
        <v>57.894736842105267</v>
      </c>
      <c r="V339">
        <v>41</v>
      </c>
      <c r="W339">
        <v>0</v>
      </c>
    </row>
    <row r="340" spans="1:23">
      <c r="A340">
        <v>333</v>
      </c>
      <c r="B340">
        <v>36</v>
      </c>
      <c r="C340">
        <v>2.7</v>
      </c>
      <c r="D340">
        <v>71700</v>
      </c>
      <c r="E340">
        <v>49000</v>
      </c>
      <c r="F340">
        <v>0</v>
      </c>
      <c r="G340" t="s">
        <v>16</v>
      </c>
      <c r="H340">
        <v>155000</v>
      </c>
      <c r="I340">
        <v>135000</v>
      </c>
      <c r="J340">
        <v>360</v>
      </c>
      <c r="K340" t="str">
        <f t="shared" si="25"/>
        <v>0-10</v>
      </c>
      <c r="L340" s="13">
        <f t="shared" si="26"/>
        <v>87.096774193548384</v>
      </c>
      <c r="M340" t="str">
        <f t="shared" si="27"/>
        <v>not selected</v>
      </c>
      <c r="N340" t="str">
        <f t="shared" si="28"/>
        <v>not selected</v>
      </c>
      <c r="O340">
        <v>87.096774193548384</v>
      </c>
      <c r="P340">
        <v>22</v>
      </c>
      <c r="Q340">
        <v>360</v>
      </c>
      <c r="R340">
        <v>0</v>
      </c>
      <c r="S340">
        <v>3.686029020602795</v>
      </c>
      <c r="T340" t="str">
        <f t="shared" si="29"/>
        <v>More than 80%</v>
      </c>
      <c r="U340">
        <v>87.096774193548384</v>
      </c>
      <c r="V340">
        <v>22</v>
      </c>
      <c r="W340">
        <v>0</v>
      </c>
    </row>
    <row r="341" spans="1:23">
      <c r="A341">
        <v>334</v>
      </c>
      <c r="B341">
        <v>34</v>
      </c>
      <c r="C341">
        <v>49.71</v>
      </c>
      <c r="D341">
        <v>96500</v>
      </c>
      <c r="E341">
        <v>91000</v>
      </c>
      <c r="F341">
        <v>0</v>
      </c>
      <c r="G341" t="s">
        <v>17</v>
      </c>
      <c r="H341">
        <v>335000</v>
      </c>
      <c r="I341">
        <v>255000</v>
      </c>
      <c r="J341">
        <v>360</v>
      </c>
      <c r="K341" t="str">
        <f t="shared" si="25"/>
        <v>40-50</v>
      </c>
      <c r="L341" s="13">
        <f t="shared" si="26"/>
        <v>76.119402985074629</v>
      </c>
      <c r="M341" t="str">
        <f t="shared" si="27"/>
        <v>not selected</v>
      </c>
      <c r="N341" t="str">
        <f t="shared" si="28"/>
        <v>not selected</v>
      </c>
      <c r="O341">
        <v>76.119402985074629</v>
      </c>
      <c r="P341">
        <v>38</v>
      </c>
      <c r="Q341">
        <v>360</v>
      </c>
      <c r="R341">
        <v>0</v>
      </c>
      <c r="S341">
        <v>5.5340108003380575</v>
      </c>
      <c r="T341" t="str">
        <f t="shared" si="29"/>
        <v>Less than 80%</v>
      </c>
      <c r="U341">
        <v>76.119402985074629</v>
      </c>
      <c r="V341">
        <v>38</v>
      </c>
      <c r="W341">
        <v>0</v>
      </c>
    </row>
    <row r="342" spans="1:23">
      <c r="A342">
        <v>335</v>
      </c>
      <c r="B342">
        <v>37</v>
      </c>
      <c r="C342">
        <v>8.0399999999999991</v>
      </c>
      <c r="D342">
        <v>80100</v>
      </c>
      <c r="E342">
        <v>124000</v>
      </c>
      <c r="F342">
        <v>0</v>
      </c>
      <c r="G342" t="s">
        <v>17</v>
      </c>
      <c r="H342">
        <v>1605000</v>
      </c>
      <c r="I342">
        <v>515000</v>
      </c>
      <c r="J342">
        <v>360</v>
      </c>
      <c r="K342" t="str">
        <f t="shared" si="25"/>
        <v>0-10</v>
      </c>
      <c r="L342" s="13">
        <f t="shared" si="26"/>
        <v>32.087227414330215</v>
      </c>
      <c r="M342" t="str">
        <f t="shared" si="27"/>
        <v>not selected</v>
      </c>
      <c r="N342" t="str">
        <f t="shared" si="28"/>
        <v>not selected</v>
      </c>
      <c r="O342">
        <v>32.087227414330215</v>
      </c>
      <c r="P342">
        <v>42</v>
      </c>
      <c r="Q342">
        <v>360</v>
      </c>
      <c r="R342">
        <v>0</v>
      </c>
      <c r="S342">
        <v>3.8874610777118805</v>
      </c>
      <c r="T342" t="str">
        <f t="shared" si="29"/>
        <v>Less than 80%</v>
      </c>
      <c r="U342">
        <v>32.087227414330215</v>
      </c>
      <c r="V342">
        <v>42</v>
      </c>
      <c r="W342">
        <v>0</v>
      </c>
    </row>
    <row r="343" spans="1:23">
      <c r="A343">
        <v>336</v>
      </c>
      <c r="B343">
        <v>6</v>
      </c>
      <c r="C343">
        <v>69.959999999999994</v>
      </c>
      <c r="D343">
        <v>55600</v>
      </c>
      <c r="E343">
        <v>50000</v>
      </c>
      <c r="F343">
        <v>0</v>
      </c>
      <c r="G343" t="s">
        <v>17</v>
      </c>
      <c r="H343">
        <v>305000</v>
      </c>
      <c r="I343">
        <v>245000</v>
      </c>
      <c r="J343">
        <v>360</v>
      </c>
      <c r="K343" t="str">
        <f t="shared" si="25"/>
        <v>More than 50</v>
      </c>
      <c r="L343" s="13">
        <f t="shared" si="26"/>
        <v>80.327868852459019</v>
      </c>
      <c r="M343" t="str">
        <f t="shared" si="27"/>
        <v>not selected</v>
      </c>
      <c r="N343" t="str">
        <f t="shared" si="28"/>
        <v>not selected</v>
      </c>
      <c r="O343">
        <v>80.327868852459019</v>
      </c>
      <c r="P343">
        <v>7</v>
      </c>
      <c r="Q343">
        <v>360</v>
      </c>
      <c r="R343">
        <v>0</v>
      </c>
      <c r="S343">
        <v>4.910425301913266</v>
      </c>
      <c r="T343" t="str">
        <f t="shared" si="29"/>
        <v>More than 80%</v>
      </c>
      <c r="U343">
        <v>80.327868852459019</v>
      </c>
      <c r="V343">
        <v>7</v>
      </c>
      <c r="W343">
        <v>0</v>
      </c>
    </row>
    <row r="344" spans="1:23">
      <c r="A344">
        <v>337</v>
      </c>
      <c r="B344">
        <v>51</v>
      </c>
      <c r="C344">
        <v>36.61</v>
      </c>
      <c r="D344">
        <v>124900</v>
      </c>
      <c r="E344">
        <v>154000</v>
      </c>
      <c r="F344">
        <v>0</v>
      </c>
      <c r="G344" t="s">
        <v>17</v>
      </c>
      <c r="H344">
        <v>625000</v>
      </c>
      <c r="I344">
        <v>495000</v>
      </c>
      <c r="J344">
        <v>360</v>
      </c>
      <c r="K344" t="str">
        <f t="shared" si="25"/>
        <v>30-40</v>
      </c>
      <c r="L344" s="13">
        <f t="shared" si="26"/>
        <v>79.2</v>
      </c>
      <c r="M344" t="str">
        <f t="shared" si="27"/>
        <v>not selected</v>
      </c>
      <c r="N344" t="str">
        <f t="shared" si="28"/>
        <v>not selected</v>
      </c>
      <c r="O344">
        <v>79.2</v>
      </c>
      <c r="P344">
        <v>24</v>
      </c>
      <c r="Q344">
        <v>360</v>
      </c>
      <c r="R344">
        <v>0</v>
      </c>
      <c r="S344">
        <v>4.7232427547784006</v>
      </c>
      <c r="T344" t="str">
        <f t="shared" si="29"/>
        <v>Less than 80%</v>
      </c>
      <c r="U344">
        <v>79.2</v>
      </c>
      <c r="V344">
        <v>24</v>
      </c>
      <c r="W344">
        <v>0</v>
      </c>
    </row>
    <row r="345" spans="1:23">
      <c r="A345">
        <v>338</v>
      </c>
      <c r="B345">
        <v>6</v>
      </c>
      <c r="C345">
        <v>42.81</v>
      </c>
      <c r="D345">
        <v>56600</v>
      </c>
      <c r="E345">
        <v>66000</v>
      </c>
      <c r="F345">
        <v>0</v>
      </c>
      <c r="G345" t="s">
        <v>17</v>
      </c>
      <c r="H345">
        <v>255000</v>
      </c>
      <c r="I345">
        <v>235000</v>
      </c>
      <c r="J345">
        <v>360</v>
      </c>
      <c r="K345" t="str">
        <f t="shared" si="25"/>
        <v>40-50</v>
      </c>
      <c r="L345" s="13">
        <f t="shared" si="26"/>
        <v>92.156862745098039</v>
      </c>
      <c r="M345" t="str">
        <f t="shared" si="27"/>
        <v>not selected</v>
      </c>
      <c r="N345" t="str">
        <f t="shared" si="28"/>
        <v>not selected</v>
      </c>
      <c r="O345">
        <v>92.156862745098039</v>
      </c>
      <c r="P345">
        <v>44</v>
      </c>
      <c r="Q345">
        <v>360</v>
      </c>
      <c r="R345">
        <v>0</v>
      </c>
      <c r="S345">
        <v>5.0152887420745342</v>
      </c>
      <c r="T345" t="str">
        <f t="shared" si="29"/>
        <v>More than 80%</v>
      </c>
      <c r="U345">
        <v>92.156862745098039</v>
      </c>
      <c r="V345">
        <v>44</v>
      </c>
      <c r="W345">
        <v>0</v>
      </c>
    </row>
    <row r="346" spans="1:23">
      <c r="A346">
        <v>339</v>
      </c>
      <c r="B346">
        <v>25</v>
      </c>
      <c r="C346">
        <v>22.5</v>
      </c>
      <c r="D346">
        <v>114000</v>
      </c>
      <c r="E346">
        <v>67000</v>
      </c>
      <c r="F346">
        <v>0</v>
      </c>
      <c r="G346" t="s">
        <v>17</v>
      </c>
      <c r="H346">
        <v>545000</v>
      </c>
      <c r="I346">
        <v>315000</v>
      </c>
      <c r="J346">
        <v>360</v>
      </c>
      <c r="K346" t="str">
        <f t="shared" si="25"/>
        <v>20-30</v>
      </c>
      <c r="L346" s="13">
        <f t="shared" si="26"/>
        <v>57.798165137614674</v>
      </c>
      <c r="M346" t="str">
        <f t="shared" si="27"/>
        <v>not selected</v>
      </c>
      <c r="N346" t="str">
        <f t="shared" si="28"/>
        <v>not selected</v>
      </c>
      <c r="O346">
        <v>57.798165137614674</v>
      </c>
      <c r="P346">
        <v>43</v>
      </c>
      <c r="Q346">
        <v>360</v>
      </c>
      <c r="R346">
        <v>0</v>
      </c>
      <c r="S346">
        <v>4.4482464348415736</v>
      </c>
      <c r="T346" t="str">
        <f t="shared" si="29"/>
        <v>Less than 80%</v>
      </c>
      <c r="U346">
        <v>57.798165137614674</v>
      </c>
      <c r="V346">
        <v>43</v>
      </c>
      <c r="W346">
        <v>0</v>
      </c>
    </row>
    <row r="347" spans="1:23">
      <c r="A347">
        <v>340</v>
      </c>
      <c r="B347">
        <v>18</v>
      </c>
      <c r="C347">
        <v>12.09</v>
      </c>
      <c r="D347">
        <v>79600</v>
      </c>
      <c r="E347">
        <v>46000</v>
      </c>
      <c r="F347">
        <v>0</v>
      </c>
      <c r="G347" t="s">
        <v>17</v>
      </c>
      <c r="H347">
        <v>135000</v>
      </c>
      <c r="I347">
        <v>115000</v>
      </c>
      <c r="J347">
        <v>360</v>
      </c>
      <c r="K347" t="str">
        <f t="shared" si="25"/>
        <v>10-20</v>
      </c>
      <c r="L347" s="13">
        <f t="shared" si="26"/>
        <v>85.18518518518519</v>
      </c>
      <c r="M347" t="str">
        <f t="shared" si="27"/>
        <v>not selected</v>
      </c>
      <c r="N347" t="str">
        <f t="shared" si="28"/>
        <v>not selected</v>
      </c>
      <c r="O347">
        <v>85.18518518518519</v>
      </c>
      <c r="P347">
        <v>19</v>
      </c>
      <c r="Q347">
        <v>360</v>
      </c>
      <c r="R347">
        <v>0</v>
      </c>
      <c r="S347">
        <v>3.7142941925450197</v>
      </c>
      <c r="T347" t="str">
        <f t="shared" si="29"/>
        <v>More than 80%</v>
      </c>
      <c r="U347">
        <v>85.18518518518519</v>
      </c>
      <c r="V347">
        <v>19</v>
      </c>
      <c r="W347">
        <v>0</v>
      </c>
    </row>
    <row r="348" spans="1:23">
      <c r="A348">
        <v>341</v>
      </c>
      <c r="B348">
        <v>6</v>
      </c>
      <c r="C348">
        <v>87.71</v>
      </c>
      <c r="D348">
        <v>83300</v>
      </c>
      <c r="E348">
        <v>181000</v>
      </c>
      <c r="F348">
        <v>0</v>
      </c>
      <c r="G348" t="s">
        <v>17</v>
      </c>
      <c r="H348">
        <v>895000</v>
      </c>
      <c r="I348">
        <v>505000</v>
      </c>
      <c r="J348">
        <v>360</v>
      </c>
      <c r="K348" t="str">
        <f t="shared" si="25"/>
        <v>More than 50</v>
      </c>
      <c r="L348" s="13">
        <f t="shared" si="26"/>
        <v>56.424581005586596</v>
      </c>
      <c r="M348" t="str">
        <f t="shared" si="27"/>
        <v>not selected</v>
      </c>
      <c r="N348" t="str">
        <f t="shared" si="28"/>
        <v>not selected</v>
      </c>
      <c r="O348">
        <v>56.424581005586596</v>
      </c>
      <c r="P348">
        <v>21</v>
      </c>
      <c r="Q348">
        <v>360</v>
      </c>
      <c r="R348">
        <v>0</v>
      </c>
      <c r="S348">
        <v>4.6815034110983076</v>
      </c>
      <c r="T348" t="str">
        <f t="shared" si="29"/>
        <v>Less than 80%</v>
      </c>
      <c r="U348">
        <v>56.424581005586596</v>
      </c>
      <c r="V348">
        <v>21</v>
      </c>
      <c r="W348">
        <v>0</v>
      </c>
    </row>
    <row r="349" spans="1:23">
      <c r="A349">
        <v>342</v>
      </c>
      <c r="B349">
        <v>24</v>
      </c>
      <c r="C349">
        <v>81.58</v>
      </c>
      <c r="D349">
        <v>124900</v>
      </c>
      <c r="E349">
        <v>57000</v>
      </c>
      <c r="F349">
        <v>1</v>
      </c>
      <c r="G349" t="s">
        <v>17</v>
      </c>
      <c r="H349">
        <v>235000</v>
      </c>
      <c r="I349">
        <v>215000</v>
      </c>
      <c r="J349">
        <v>360</v>
      </c>
      <c r="K349" t="str">
        <f t="shared" si="25"/>
        <v>More than 50</v>
      </c>
      <c r="L349" s="13">
        <f t="shared" si="26"/>
        <v>91.489361702127653</v>
      </c>
      <c r="M349" t="str">
        <f t="shared" si="27"/>
        <v>not selected</v>
      </c>
      <c r="N349" t="str">
        <f t="shared" si="28"/>
        <v>not selected</v>
      </c>
      <c r="O349">
        <v>91.489361702127653</v>
      </c>
      <c r="P349">
        <v>28</v>
      </c>
      <c r="Q349">
        <v>360</v>
      </c>
      <c r="R349">
        <v>1</v>
      </c>
      <c r="S349">
        <v>4.1851870978395551</v>
      </c>
      <c r="T349" t="str">
        <f t="shared" si="29"/>
        <v>More than 80%</v>
      </c>
      <c r="U349">
        <v>91.489361702127653</v>
      </c>
      <c r="V349">
        <v>28</v>
      </c>
      <c r="W349">
        <v>1</v>
      </c>
    </row>
    <row r="350" spans="1:23">
      <c r="A350">
        <v>343</v>
      </c>
      <c r="B350">
        <v>18</v>
      </c>
      <c r="C350">
        <v>17.25</v>
      </c>
      <c r="D350">
        <v>71100</v>
      </c>
      <c r="E350">
        <v>41000</v>
      </c>
      <c r="F350">
        <v>0</v>
      </c>
      <c r="G350" t="s">
        <v>17</v>
      </c>
      <c r="H350">
        <v>245000</v>
      </c>
      <c r="I350">
        <v>195000</v>
      </c>
      <c r="J350">
        <v>360</v>
      </c>
      <c r="K350" t="str">
        <f t="shared" si="25"/>
        <v>10-20</v>
      </c>
      <c r="L350" s="13">
        <f t="shared" si="26"/>
        <v>79.591836734693871</v>
      </c>
      <c r="M350" t="str">
        <f t="shared" si="27"/>
        <v>not selected</v>
      </c>
      <c r="N350" t="str">
        <f t="shared" si="28"/>
        <v>not selected</v>
      </c>
      <c r="O350">
        <v>79.591836734693871</v>
      </c>
      <c r="P350">
        <v>26</v>
      </c>
      <c r="Q350">
        <v>360</v>
      </c>
      <c r="R350">
        <v>0</v>
      </c>
      <c r="S350">
        <v>3.8783435566864419</v>
      </c>
      <c r="T350" t="str">
        <f t="shared" si="29"/>
        <v>Less than 80%</v>
      </c>
      <c r="U350">
        <v>79.591836734693871</v>
      </c>
      <c r="V350">
        <v>26</v>
      </c>
      <c r="W350">
        <v>0</v>
      </c>
    </row>
    <row r="351" spans="1:23">
      <c r="A351">
        <v>344</v>
      </c>
      <c r="B351">
        <v>6</v>
      </c>
      <c r="C351">
        <v>85.78</v>
      </c>
      <c r="D351">
        <v>75300</v>
      </c>
      <c r="E351">
        <v>143000</v>
      </c>
      <c r="F351">
        <v>0</v>
      </c>
      <c r="G351" t="s">
        <v>17</v>
      </c>
      <c r="H351">
        <v>505000</v>
      </c>
      <c r="I351">
        <v>405000</v>
      </c>
      <c r="J351">
        <v>360</v>
      </c>
      <c r="K351" t="str">
        <f t="shared" si="25"/>
        <v>More than 50</v>
      </c>
      <c r="L351" s="13">
        <f t="shared" si="26"/>
        <v>80.198019801980209</v>
      </c>
      <c r="M351" t="str">
        <f t="shared" si="27"/>
        <v>not selected</v>
      </c>
      <c r="N351" t="str">
        <f t="shared" si="28"/>
        <v>not selected</v>
      </c>
      <c r="O351">
        <v>80.198019801980209</v>
      </c>
      <c r="P351">
        <v>16</v>
      </c>
      <c r="Q351">
        <v>360</v>
      </c>
      <c r="R351">
        <v>0</v>
      </c>
      <c r="S351">
        <v>4.0247264380746639</v>
      </c>
      <c r="T351" t="str">
        <f t="shared" si="29"/>
        <v>More than 80%</v>
      </c>
      <c r="U351">
        <v>80.198019801980209</v>
      </c>
      <c r="V351">
        <v>16</v>
      </c>
      <c r="W351">
        <v>0</v>
      </c>
    </row>
    <row r="352" spans="1:23">
      <c r="A352">
        <v>345</v>
      </c>
      <c r="B352">
        <v>48</v>
      </c>
      <c r="C352">
        <v>48.23</v>
      </c>
      <c r="D352">
        <v>65500</v>
      </c>
      <c r="E352">
        <v>118000</v>
      </c>
      <c r="F352">
        <v>1</v>
      </c>
      <c r="G352" t="s">
        <v>17</v>
      </c>
      <c r="H352">
        <v>265000</v>
      </c>
      <c r="I352">
        <v>225000</v>
      </c>
      <c r="J352">
        <v>360</v>
      </c>
      <c r="K352" t="str">
        <f t="shared" si="25"/>
        <v>40-50</v>
      </c>
      <c r="L352" s="13">
        <f t="shared" si="26"/>
        <v>84.905660377358487</v>
      </c>
      <c r="M352" t="str">
        <f t="shared" si="27"/>
        <v>not selected</v>
      </c>
      <c r="N352" t="str">
        <f t="shared" si="28"/>
        <v>not selected</v>
      </c>
      <c r="O352">
        <v>84.905660377358487</v>
      </c>
      <c r="P352">
        <v>28</v>
      </c>
      <c r="Q352">
        <v>360</v>
      </c>
      <c r="R352">
        <v>1</v>
      </c>
      <c r="S352">
        <v>5.7639435114461914</v>
      </c>
      <c r="T352" t="str">
        <f t="shared" si="29"/>
        <v>More than 80%</v>
      </c>
      <c r="U352">
        <v>84.905660377358487</v>
      </c>
      <c r="V352">
        <v>28</v>
      </c>
      <c r="W352">
        <v>1</v>
      </c>
    </row>
    <row r="353" spans="1:23">
      <c r="A353">
        <v>346</v>
      </c>
      <c r="B353">
        <v>16</v>
      </c>
      <c r="C353">
        <v>6.45</v>
      </c>
      <c r="D353">
        <v>67400</v>
      </c>
      <c r="E353">
        <v>109000</v>
      </c>
      <c r="F353">
        <v>0</v>
      </c>
      <c r="G353" t="s">
        <v>17</v>
      </c>
      <c r="H353">
        <v>235000</v>
      </c>
      <c r="I353">
        <v>215000</v>
      </c>
      <c r="J353">
        <v>360</v>
      </c>
      <c r="K353" t="str">
        <f t="shared" si="25"/>
        <v>0-10</v>
      </c>
      <c r="L353" s="13">
        <f t="shared" si="26"/>
        <v>91.489361702127653</v>
      </c>
      <c r="M353" t="str">
        <f t="shared" si="27"/>
        <v>not selected</v>
      </c>
      <c r="N353" t="str">
        <f t="shared" si="28"/>
        <v>not selected</v>
      </c>
      <c r="O353">
        <v>91.489361702127653</v>
      </c>
      <c r="P353">
        <v>25</v>
      </c>
      <c r="Q353">
        <v>360</v>
      </c>
      <c r="R353">
        <v>0</v>
      </c>
      <c r="S353">
        <v>4.0762430698761483</v>
      </c>
      <c r="T353" t="str">
        <f t="shared" si="29"/>
        <v>More than 80%</v>
      </c>
      <c r="U353">
        <v>91.489361702127653</v>
      </c>
      <c r="V353">
        <v>25</v>
      </c>
      <c r="W353">
        <v>0</v>
      </c>
    </row>
    <row r="354" spans="1:23">
      <c r="A354">
        <v>347</v>
      </c>
      <c r="B354">
        <v>42</v>
      </c>
      <c r="C354">
        <v>47.52</v>
      </c>
      <c r="D354">
        <v>79100</v>
      </c>
      <c r="E354">
        <v>269000</v>
      </c>
      <c r="F354">
        <v>0</v>
      </c>
      <c r="G354" t="s">
        <v>17</v>
      </c>
      <c r="H354">
        <v>285000</v>
      </c>
      <c r="I354">
        <v>135000</v>
      </c>
      <c r="J354">
        <v>180</v>
      </c>
      <c r="K354" t="str">
        <f t="shared" si="25"/>
        <v>40-50</v>
      </c>
      <c r="L354" s="13">
        <f t="shared" si="26"/>
        <v>47.368421052631575</v>
      </c>
      <c r="M354" t="str">
        <f t="shared" si="27"/>
        <v>selected</v>
      </c>
      <c r="N354" t="str">
        <f t="shared" si="28"/>
        <v>selected</v>
      </c>
      <c r="O354">
        <v>47.368421052631575</v>
      </c>
      <c r="P354">
        <v>27</v>
      </c>
      <c r="Q354">
        <v>180</v>
      </c>
      <c r="R354">
        <v>0</v>
      </c>
      <c r="S354">
        <v>4.8774393437709982</v>
      </c>
      <c r="T354" t="str">
        <f t="shared" si="29"/>
        <v>Less than 80%</v>
      </c>
      <c r="U354">
        <v>47.368421052631575</v>
      </c>
      <c r="V354">
        <v>27</v>
      </c>
      <c r="W354">
        <v>0</v>
      </c>
    </row>
    <row r="355" spans="1:23">
      <c r="A355">
        <v>348</v>
      </c>
      <c r="B355">
        <v>39</v>
      </c>
      <c r="C355">
        <v>2.17</v>
      </c>
      <c r="D355">
        <v>69500</v>
      </c>
      <c r="E355">
        <v>46000</v>
      </c>
      <c r="F355">
        <v>0</v>
      </c>
      <c r="G355" t="s">
        <v>17</v>
      </c>
      <c r="H355">
        <v>125000</v>
      </c>
      <c r="I355">
        <v>95000</v>
      </c>
      <c r="J355">
        <v>360</v>
      </c>
      <c r="K355" t="str">
        <f t="shared" si="25"/>
        <v>0-10</v>
      </c>
      <c r="L355" s="13">
        <f t="shared" si="26"/>
        <v>76</v>
      </c>
      <c r="M355" t="str">
        <f t="shared" si="27"/>
        <v>not selected</v>
      </c>
      <c r="N355" t="str">
        <f t="shared" si="28"/>
        <v>not selected</v>
      </c>
      <c r="O355">
        <v>76</v>
      </c>
      <c r="P355">
        <v>16</v>
      </c>
      <c r="Q355">
        <v>360</v>
      </c>
      <c r="R355">
        <v>0</v>
      </c>
      <c r="S355">
        <v>4.3579067275433756</v>
      </c>
      <c r="T355" t="str">
        <f t="shared" si="29"/>
        <v>Less than 80%</v>
      </c>
      <c r="U355">
        <v>76</v>
      </c>
      <c r="V355">
        <v>16</v>
      </c>
      <c r="W355">
        <v>0</v>
      </c>
    </row>
    <row r="356" spans="1:23">
      <c r="A356">
        <v>349</v>
      </c>
      <c r="B356">
        <v>26</v>
      </c>
      <c r="C356">
        <v>10.69</v>
      </c>
      <c r="D356">
        <v>79700</v>
      </c>
      <c r="E356">
        <v>166000</v>
      </c>
      <c r="F356">
        <v>0</v>
      </c>
      <c r="G356" t="s">
        <v>17</v>
      </c>
      <c r="H356">
        <v>445000</v>
      </c>
      <c r="I356">
        <v>335000</v>
      </c>
      <c r="J356">
        <v>360</v>
      </c>
      <c r="K356" t="str">
        <f t="shared" si="25"/>
        <v>10-20</v>
      </c>
      <c r="L356" s="13">
        <f t="shared" si="26"/>
        <v>75.280898876404493</v>
      </c>
      <c r="M356" t="str">
        <f t="shared" si="27"/>
        <v>not selected</v>
      </c>
      <c r="N356" t="str">
        <f t="shared" si="28"/>
        <v>not selected</v>
      </c>
      <c r="O356">
        <v>75.280898876404493</v>
      </c>
      <c r="P356">
        <v>21</v>
      </c>
      <c r="Q356">
        <v>360</v>
      </c>
      <c r="R356">
        <v>0</v>
      </c>
      <c r="S356">
        <v>5.0767980539038042</v>
      </c>
      <c r="T356" t="str">
        <f t="shared" si="29"/>
        <v>Less than 80%</v>
      </c>
      <c r="U356">
        <v>75.280898876404493</v>
      </c>
      <c r="V356">
        <v>21</v>
      </c>
      <c r="W356">
        <v>0</v>
      </c>
    </row>
    <row r="357" spans="1:23">
      <c r="A357">
        <v>350</v>
      </c>
      <c r="B357">
        <v>48</v>
      </c>
      <c r="C357">
        <v>59.65</v>
      </c>
      <c r="D357">
        <v>97600</v>
      </c>
      <c r="E357">
        <v>142000</v>
      </c>
      <c r="F357">
        <v>0</v>
      </c>
      <c r="G357" t="s">
        <v>17</v>
      </c>
      <c r="H357">
        <v>265000</v>
      </c>
      <c r="I357">
        <v>195000</v>
      </c>
      <c r="J357">
        <v>360</v>
      </c>
      <c r="K357" t="str">
        <f t="shared" si="25"/>
        <v>More than 50</v>
      </c>
      <c r="L357" s="13">
        <f t="shared" si="26"/>
        <v>73.584905660377359</v>
      </c>
      <c r="M357" t="str">
        <f t="shared" si="27"/>
        <v>not selected</v>
      </c>
      <c r="N357" t="str">
        <f t="shared" si="28"/>
        <v>not selected</v>
      </c>
      <c r="O357">
        <v>73.584905660377359</v>
      </c>
      <c r="P357">
        <v>32</v>
      </c>
      <c r="Q357">
        <v>360</v>
      </c>
      <c r="R357">
        <v>0</v>
      </c>
      <c r="S357">
        <v>4.3269226913644872</v>
      </c>
      <c r="T357" t="str">
        <f t="shared" si="29"/>
        <v>Less than 80%</v>
      </c>
      <c r="U357">
        <v>73.584905660377359</v>
      </c>
      <c r="V357">
        <v>32</v>
      </c>
      <c r="W357">
        <v>0</v>
      </c>
    </row>
    <row r="358" spans="1:23">
      <c r="A358">
        <v>351</v>
      </c>
      <c r="B358">
        <v>53</v>
      </c>
      <c r="C358">
        <v>19.93</v>
      </c>
      <c r="D358">
        <v>77500</v>
      </c>
      <c r="E358">
        <v>68000</v>
      </c>
      <c r="F358">
        <v>0</v>
      </c>
      <c r="G358" t="s">
        <v>17</v>
      </c>
      <c r="H358">
        <v>295000</v>
      </c>
      <c r="I358">
        <v>185000</v>
      </c>
      <c r="J358">
        <v>360</v>
      </c>
      <c r="K358" t="str">
        <f t="shared" si="25"/>
        <v>10-20</v>
      </c>
      <c r="L358" s="13">
        <f t="shared" si="26"/>
        <v>62.711864406779661</v>
      </c>
      <c r="M358" t="str">
        <f t="shared" si="27"/>
        <v>not selected</v>
      </c>
      <c r="N358" t="str">
        <f t="shared" si="28"/>
        <v>not selected</v>
      </c>
      <c r="O358">
        <v>62.711864406779661</v>
      </c>
      <c r="P358">
        <v>31</v>
      </c>
      <c r="Q358">
        <v>360</v>
      </c>
      <c r="R358">
        <v>0</v>
      </c>
      <c r="S358">
        <v>4.5895614242450034</v>
      </c>
      <c r="T358" t="str">
        <f t="shared" si="29"/>
        <v>Less than 80%</v>
      </c>
      <c r="U358">
        <v>62.711864406779661</v>
      </c>
      <c r="V358">
        <v>31</v>
      </c>
      <c r="W358">
        <v>0</v>
      </c>
    </row>
    <row r="359" spans="1:23">
      <c r="A359">
        <v>352</v>
      </c>
      <c r="B359">
        <v>27</v>
      </c>
      <c r="C359">
        <v>3.99</v>
      </c>
      <c r="D359">
        <v>102800</v>
      </c>
      <c r="E359">
        <v>91000</v>
      </c>
      <c r="F359">
        <v>0</v>
      </c>
      <c r="G359" t="s">
        <v>17</v>
      </c>
      <c r="H359">
        <v>495000</v>
      </c>
      <c r="I359">
        <v>395000</v>
      </c>
      <c r="J359">
        <v>360</v>
      </c>
      <c r="K359" t="str">
        <f t="shared" si="25"/>
        <v>0-10</v>
      </c>
      <c r="L359" s="13">
        <f t="shared" si="26"/>
        <v>79.797979797979806</v>
      </c>
      <c r="M359" t="str">
        <f t="shared" si="27"/>
        <v>not selected</v>
      </c>
      <c r="N359" t="str">
        <f t="shared" si="28"/>
        <v>not selected</v>
      </c>
      <c r="O359">
        <v>79.797979797979806</v>
      </c>
      <c r="P359">
        <v>20</v>
      </c>
      <c r="Q359">
        <v>360</v>
      </c>
      <c r="R359">
        <v>0</v>
      </c>
      <c r="S359">
        <v>4.5530606649785197</v>
      </c>
      <c r="T359" t="str">
        <f t="shared" si="29"/>
        <v>Less than 80%</v>
      </c>
      <c r="U359">
        <v>79.797979797979806</v>
      </c>
      <c r="V359">
        <v>20</v>
      </c>
      <c r="W359">
        <v>0</v>
      </c>
    </row>
    <row r="360" spans="1:23">
      <c r="A360">
        <v>353</v>
      </c>
      <c r="B360">
        <v>39</v>
      </c>
      <c r="C360">
        <v>5.48</v>
      </c>
      <c r="D360">
        <v>65100</v>
      </c>
      <c r="E360">
        <v>37000</v>
      </c>
      <c r="F360">
        <v>0</v>
      </c>
      <c r="G360" t="s">
        <v>17</v>
      </c>
      <c r="H360">
        <v>155000</v>
      </c>
      <c r="I360">
        <v>125000</v>
      </c>
      <c r="J360">
        <v>360</v>
      </c>
      <c r="K360" t="str">
        <f t="shared" si="25"/>
        <v>0-10</v>
      </c>
      <c r="L360" s="13">
        <f t="shared" si="26"/>
        <v>80.645161290322577</v>
      </c>
      <c r="M360" t="str">
        <f t="shared" si="27"/>
        <v>not selected</v>
      </c>
      <c r="N360" t="str">
        <f t="shared" si="28"/>
        <v>not selected</v>
      </c>
      <c r="O360">
        <v>80.645161290322577</v>
      </c>
      <c r="P360">
        <v>23</v>
      </c>
      <c r="Q360">
        <v>360</v>
      </c>
      <c r="R360">
        <v>0</v>
      </c>
      <c r="S360">
        <v>5.0055072660372026</v>
      </c>
      <c r="T360" t="str">
        <f t="shared" si="29"/>
        <v>More than 80%</v>
      </c>
      <c r="U360">
        <v>80.645161290322577</v>
      </c>
      <c r="V360">
        <v>23</v>
      </c>
      <c r="W360">
        <v>0</v>
      </c>
    </row>
    <row r="361" spans="1:23">
      <c r="A361">
        <v>354</v>
      </c>
      <c r="B361">
        <v>48</v>
      </c>
      <c r="C361">
        <v>74.62</v>
      </c>
      <c r="D361">
        <v>72200</v>
      </c>
      <c r="E361">
        <v>568000</v>
      </c>
      <c r="F361">
        <v>0</v>
      </c>
      <c r="G361" t="s">
        <v>17</v>
      </c>
      <c r="H361">
        <v>365000</v>
      </c>
      <c r="I361">
        <v>275000</v>
      </c>
      <c r="J361">
        <v>180</v>
      </c>
      <c r="K361" t="str">
        <f t="shared" si="25"/>
        <v>More than 50</v>
      </c>
      <c r="L361" s="13">
        <f t="shared" si="26"/>
        <v>75.342465753424662</v>
      </c>
      <c r="M361" t="str">
        <f t="shared" si="27"/>
        <v>selected</v>
      </c>
      <c r="N361" t="str">
        <f t="shared" si="28"/>
        <v>selected</v>
      </c>
      <c r="O361">
        <v>75.342465753424662</v>
      </c>
      <c r="P361">
        <v>48</v>
      </c>
      <c r="Q361">
        <v>180</v>
      </c>
      <c r="R361">
        <v>0</v>
      </c>
      <c r="S361">
        <v>5.0922350901134656</v>
      </c>
      <c r="T361" t="str">
        <f t="shared" si="29"/>
        <v>Less than 80%</v>
      </c>
      <c r="U361">
        <v>75.342465753424662</v>
      </c>
      <c r="V361">
        <v>48</v>
      </c>
      <c r="W361">
        <v>0</v>
      </c>
    </row>
    <row r="362" spans="1:23">
      <c r="A362">
        <v>355</v>
      </c>
      <c r="B362">
        <v>6</v>
      </c>
      <c r="C362">
        <v>59.98</v>
      </c>
      <c r="D362">
        <v>61700</v>
      </c>
      <c r="E362">
        <v>150000</v>
      </c>
      <c r="F362">
        <v>0</v>
      </c>
      <c r="G362" t="s">
        <v>17</v>
      </c>
      <c r="H362">
        <v>445000</v>
      </c>
      <c r="I362">
        <v>305000</v>
      </c>
      <c r="J362">
        <v>360</v>
      </c>
      <c r="K362" t="str">
        <f t="shared" si="25"/>
        <v>More than 50</v>
      </c>
      <c r="L362" s="13">
        <f t="shared" si="26"/>
        <v>68.539325842696627</v>
      </c>
      <c r="M362" t="str">
        <f t="shared" si="27"/>
        <v>not selected</v>
      </c>
      <c r="N362" t="str">
        <f t="shared" si="28"/>
        <v>not selected</v>
      </c>
      <c r="O362">
        <v>68.539325842696627</v>
      </c>
      <c r="P362">
        <v>38</v>
      </c>
      <c r="Q362">
        <v>360</v>
      </c>
      <c r="R362">
        <v>0</v>
      </c>
      <c r="S362">
        <v>4.9734162304062366</v>
      </c>
      <c r="T362" t="str">
        <f t="shared" si="29"/>
        <v>Less than 80%</v>
      </c>
      <c r="U362">
        <v>68.539325842696627</v>
      </c>
      <c r="V362">
        <v>38</v>
      </c>
      <c r="W362">
        <v>0</v>
      </c>
    </row>
    <row r="363" spans="1:23">
      <c r="A363">
        <v>356</v>
      </c>
      <c r="B363">
        <v>6</v>
      </c>
      <c r="C363">
        <v>25.16</v>
      </c>
      <c r="D363">
        <v>83300</v>
      </c>
      <c r="E363">
        <v>96000</v>
      </c>
      <c r="F363">
        <v>0</v>
      </c>
      <c r="G363" t="s">
        <v>17</v>
      </c>
      <c r="H363">
        <v>685000</v>
      </c>
      <c r="I363">
        <v>445000</v>
      </c>
      <c r="J363">
        <v>360</v>
      </c>
      <c r="K363" t="str">
        <f t="shared" si="25"/>
        <v>20-30</v>
      </c>
      <c r="L363" s="13">
        <f t="shared" si="26"/>
        <v>64.96350364963503</v>
      </c>
      <c r="M363" t="str">
        <f t="shared" si="27"/>
        <v>not selected</v>
      </c>
      <c r="N363" t="str">
        <f t="shared" si="28"/>
        <v>not selected</v>
      </c>
      <c r="O363">
        <v>64.96350364963503</v>
      </c>
      <c r="P363">
        <v>30</v>
      </c>
      <c r="Q363">
        <v>360</v>
      </c>
      <c r="R363">
        <v>0</v>
      </c>
      <c r="S363">
        <v>4.877000459701164</v>
      </c>
      <c r="T363" t="str">
        <f t="shared" si="29"/>
        <v>Less than 80%</v>
      </c>
      <c r="U363">
        <v>64.96350364963503</v>
      </c>
      <c r="V363">
        <v>30</v>
      </c>
      <c r="W363">
        <v>0</v>
      </c>
    </row>
    <row r="364" spans="1:23">
      <c r="A364">
        <v>357</v>
      </c>
      <c r="B364">
        <v>13</v>
      </c>
      <c r="C364">
        <v>49.77</v>
      </c>
      <c r="D364">
        <v>82200</v>
      </c>
      <c r="E364">
        <v>31000</v>
      </c>
      <c r="F364">
        <v>0</v>
      </c>
      <c r="G364" t="s">
        <v>17</v>
      </c>
      <c r="H364">
        <v>205000</v>
      </c>
      <c r="I364">
        <v>165000</v>
      </c>
      <c r="J364">
        <v>360</v>
      </c>
      <c r="K364" t="str">
        <f t="shared" si="25"/>
        <v>40-50</v>
      </c>
      <c r="L364" s="13">
        <f t="shared" si="26"/>
        <v>80.487804878048792</v>
      </c>
      <c r="M364" t="str">
        <f t="shared" si="27"/>
        <v>not selected</v>
      </c>
      <c r="N364" t="str">
        <f t="shared" si="28"/>
        <v>not selected</v>
      </c>
      <c r="O364">
        <v>80.487804878048792</v>
      </c>
      <c r="P364">
        <v>2</v>
      </c>
      <c r="Q364">
        <v>360</v>
      </c>
      <c r="R364">
        <v>0</v>
      </c>
      <c r="S364">
        <v>3.5466725846734386</v>
      </c>
      <c r="T364" t="str">
        <f t="shared" si="29"/>
        <v>More than 80%</v>
      </c>
      <c r="U364">
        <v>80.487804878048792</v>
      </c>
      <c r="V364">
        <v>2</v>
      </c>
      <c r="W364">
        <v>0</v>
      </c>
    </row>
    <row r="365" spans="1:23">
      <c r="A365">
        <v>358</v>
      </c>
      <c r="B365">
        <v>4</v>
      </c>
      <c r="C365">
        <v>26.52</v>
      </c>
      <c r="D365">
        <v>77800</v>
      </c>
      <c r="E365">
        <v>114000</v>
      </c>
      <c r="F365">
        <v>0</v>
      </c>
      <c r="G365" t="s">
        <v>17</v>
      </c>
      <c r="H365">
        <v>355000</v>
      </c>
      <c r="I365">
        <v>195000</v>
      </c>
      <c r="J365">
        <v>360</v>
      </c>
      <c r="K365" t="str">
        <f t="shared" si="25"/>
        <v>20-30</v>
      </c>
      <c r="L365" s="13">
        <f t="shared" si="26"/>
        <v>54.929577464788736</v>
      </c>
      <c r="M365" t="str">
        <f t="shared" si="27"/>
        <v>not selected</v>
      </c>
      <c r="N365" t="str">
        <f t="shared" si="28"/>
        <v>not selected</v>
      </c>
      <c r="O365">
        <v>54.929577464788736</v>
      </c>
      <c r="P365">
        <v>2</v>
      </c>
      <c r="Q365">
        <v>360</v>
      </c>
      <c r="R365">
        <v>0</v>
      </c>
      <c r="S365">
        <v>3.2785068151213625</v>
      </c>
      <c r="T365" t="str">
        <f t="shared" si="29"/>
        <v>Less than 80%</v>
      </c>
      <c r="U365">
        <v>54.929577464788736</v>
      </c>
      <c r="V365">
        <v>2</v>
      </c>
      <c r="W365">
        <v>0</v>
      </c>
    </row>
    <row r="366" spans="1:23">
      <c r="A366">
        <v>359</v>
      </c>
      <c r="B366">
        <v>6</v>
      </c>
      <c r="C366">
        <v>18.79</v>
      </c>
      <c r="D366">
        <v>92700</v>
      </c>
      <c r="E366">
        <v>371000</v>
      </c>
      <c r="F366">
        <v>0</v>
      </c>
      <c r="G366" t="s">
        <v>17</v>
      </c>
      <c r="H366">
        <v>635000</v>
      </c>
      <c r="I366">
        <v>475000</v>
      </c>
      <c r="J366">
        <v>360</v>
      </c>
      <c r="K366" t="str">
        <f t="shared" si="25"/>
        <v>10-20</v>
      </c>
      <c r="L366" s="13">
        <f t="shared" si="26"/>
        <v>74.803149606299215</v>
      </c>
      <c r="M366" t="str">
        <f t="shared" si="27"/>
        <v>not selected</v>
      </c>
      <c r="N366" t="str">
        <f t="shared" si="28"/>
        <v>selected</v>
      </c>
      <c r="O366">
        <v>74.803149606299215</v>
      </c>
      <c r="P366">
        <v>2</v>
      </c>
      <c r="Q366">
        <v>360</v>
      </c>
      <c r="R366">
        <v>0</v>
      </c>
      <c r="S366">
        <v>5.1436848029974893</v>
      </c>
      <c r="T366" t="str">
        <f t="shared" si="29"/>
        <v>Less than 80%</v>
      </c>
      <c r="U366">
        <v>74.803149606299215</v>
      </c>
      <c r="V366">
        <v>2</v>
      </c>
      <c r="W366">
        <v>0</v>
      </c>
    </row>
    <row r="367" spans="1:23">
      <c r="A367">
        <v>360</v>
      </c>
      <c r="B367">
        <v>27</v>
      </c>
      <c r="C367">
        <v>3.64</v>
      </c>
      <c r="D367">
        <v>102800</v>
      </c>
      <c r="E367">
        <v>52000</v>
      </c>
      <c r="F367">
        <v>1</v>
      </c>
      <c r="G367" t="s">
        <v>17</v>
      </c>
      <c r="H367">
        <v>155000</v>
      </c>
      <c r="I367">
        <v>145000</v>
      </c>
      <c r="J367">
        <v>360</v>
      </c>
      <c r="K367" t="str">
        <f t="shared" si="25"/>
        <v>0-10</v>
      </c>
      <c r="L367" s="13">
        <f t="shared" si="26"/>
        <v>93.548387096774192</v>
      </c>
      <c r="M367" t="str">
        <f t="shared" si="27"/>
        <v>not selected</v>
      </c>
      <c r="N367" t="str">
        <f t="shared" si="28"/>
        <v>not selected</v>
      </c>
      <c r="O367">
        <v>93.548387096774192</v>
      </c>
      <c r="P367">
        <v>20</v>
      </c>
      <c r="Q367">
        <v>360</v>
      </c>
      <c r="R367">
        <v>1</v>
      </c>
      <c r="S367">
        <v>3.8992089383832855</v>
      </c>
      <c r="T367" t="str">
        <f t="shared" si="29"/>
        <v>More than 80%</v>
      </c>
      <c r="U367">
        <v>93.548387096774192</v>
      </c>
      <c r="V367">
        <v>20</v>
      </c>
      <c r="W367">
        <v>1</v>
      </c>
    </row>
    <row r="368" spans="1:23">
      <c r="A368">
        <v>361</v>
      </c>
      <c r="B368">
        <v>31</v>
      </c>
      <c r="C368">
        <v>3.56</v>
      </c>
      <c r="D368">
        <v>86900</v>
      </c>
      <c r="E368">
        <v>57000</v>
      </c>
      <c r="F368">
        <v>0</v>
      </c>
      <c r="G368" t="s">
        <v>17</v>
      </c>
      <c r="H368">
        <v>325000</v>
      </c>
      <c r="I368">
        <v>155000</v>
      </c>
      <c r="J368">
        <v>360</v>
      </c>
      <c r="K368" t="str">
        <f t="shared" si="25"/>
        <v>0-10</v>
      </c>
      <c r="L368" s="13">
        <f t="shared" si="26"/>
        <v>47.692307692307693</v>
      </c>
      <c r="M368" t="str">
        <f t="shared" si="27"/>
        <v>not selected</v>
      </c>
      <c r="N368" t="str">
        <f t="shared" si="28"/>
        <v>not selected</v>
      </c>
      <c r="O368">
        <v>47.692307692307693</v>
      </c>
      <c r="P368">
        <v>34</v>
      </c>
      <c r="Q368">
        <v>360</v>
      </c>
      <c r="R368">
        <v>0</v>
      </c>
      <c r="S368">
        <v>5.3646775192128979</v>
      </c>
      <c r="T368" t="str">
        <f t="shared" si="29"/>
        <v>Less than 80%</v>
      </c>
      <c r="U368">
        <v>47.692307692307693</v>
      </c>
      <c r="V368">
        <v>34</v>
      </c>
      <c r="W368">
        <v>0</v>
      </c>
    </row>
    <row r="369" spans="1:23">
      <c r="A369">
        <v>362</v>
      </c>
      <c r="B369">
        <v>37</v>
      </c>
      <c r="C369">
        <v>33.049999999999997</v>
      </c>
      <c r="D369">
        <v>94100</v>
      </c>
      <c r="E369">
        <v>69000</v>
      </c>
      <c r="F369">
        <v>0</v>
      </c>
      <c r="G369" t="s">
        <v>17</v>
      </c>
      <c r="H369">
        <v>225000</v>
      </c>
      <c r="I369">
        <v>175000</v>
      </c>
      <c r="J369">
        <v>360</v>
      </c>
      <c r="K369" t="str">
        <f t="shared" si="25"/>
        <v>30-40</v>
      </c>
      <c r="L369" s="13">
        <f t="shared" si="26"/>
        <v>77.777777777777786</v>
      </c>
      <c r="M369" t="str">
        <f t="shared" si="27"/>
        <v>not selected</v>
      </c>
      <c r="N369" t="str">
        <f t="shared" si="28"/>
        <v>not selected</v>
      </c>
      <c r="O369">
        <v>77.777777777777786</v>
      </c>
      <c r="P369">
        <v>24</v>
      </c>
      <c r="Q369">
        <v>360</v>
      </c>
      <c r="R369">
        <v>0</v>
      </c>
      <c r="S369">
        <v>4.8056052688333741</v>
      </c>
      <c r="T369" t="str">
        <f t="shared" si="29"/>
        <v>Less than 80%</v>
      </c>
      <c r="U369">
        <v>77.777777777777786</v>
      </c>
      <c r="V369">
        <v>24</v>
      </c>
      <c r="W369">
        <v>0</v>
      </c>
    </row>
    <row r="370" spans="1:23">
      <c r="A370">
        <v>363</v>
      </c>
      <c r="B370">
        <v>26</v>
      </c>
      <c r="C370">
        <v>6.58</v>
      </c>
      <c r="D370">
        <v>62900</v>
      </c>
      <c r="E370">
        <v>48000</v>
      </c>
      <c r="F370">
        <v>0</v>
      </c>
      <c r="G370" t="s">
        <v>17</v>
      </c>
      <c r="H370">
        <v>125000</v>
      </c>
      <c r="I370">
        <v>95000</v>
      </c>
      <c r="J370">
        <v>360</v>
      </c>
      <c r="K370" t="str">
        <f t="shared" si="25"/>
        <v>0-10</v>
      </c>
      <c r="L370" s="13">
        <f t="shared" si="26"/>
        <v>76</v>
      </c>
      <c r="M370" t="str">
        <f t="shared" si="27"/>
        <v>not selected</v>
      </c>
      <c r="N370" t="str">
        <f t="shared" si="28"/>
        <v>not selected</v>
      </c>
      <c r="O370">
        <v>76</v>
      </c>
      <c r="P370">
        <v>33</v>
      </c>
      <c r="Q370">
        <v>360</v>
      </c>
      <c r="R370">
        <v>0</v>
      </c>
      <c r="S370">
        <v>4.4358541409249952</v>
      </c>
      <c r="T370" t="str">
        <f t="shared" si="29"/>
        <v>Less than 80%</v>
      </c>
      <c r="U370">
        <v>76</v>
      </c>
      <c r="V370">
        <v>33</v>
      </c>
      <c r="W370">
        <v>0</v>
      </c>
    </row>
    <row r="371" spans="1:23">
      <c r="A371">
        <v>364</v>
      </c>
      <c r="B371">
        <v>6</v>
      </c>
      <c r="C371">
        <v>58.89</v>
      </c>
      <c r="D371">
        <v>139800</v>
      </c>
      <c r="E371">
        <v>119000</v>
      </c>
      <c r="F371">
        <v>0</v>
      </c>
      <c r="G371" t="s">
        <v>17</v>
      </c>
      <c r="H371">
        <v>925000</v>
      </c>
      <c r="I371">
        <v>515000</v>
      </c>
      <c r="J371">
        <v>360</v>
      </c>
      <c r="K371" t="str">
        <f t="shared" si="25"/>
        <v>More than 50</v>
      </c>
      <c r="L371" s="13">
        <f t="shared" si="26"/>
        <v>55.67567567567567</v>
      </c>
      <c r="M371" t="str">
        <f t="shared" si="27"/>
        <v>not selected</v>
      </c>
      <c r="N371" t="str">
        <f t="shared" si="28"/>
        <v>not selected</v>
      </c>
      <c r="O371">
        <v>55.67567567567567</v>
      </c>
      <c r="P371">
        <v>7</v>
      </c>
      <c r="Q371">
        <v>360</v>
      </c>
      <c r="R371">
        <v>0</v>
      </c>
      <c r="S371">
        <v>4.448880249959692</v>
      </c>
      <c r="T371" t="str">
        <f t="shared" si="29"/>
        <v>Less than 80%</v>
      </c>
      <c r="U371">
        <v>55.67567567567567</v>
      </c>
      <c r="V371">
        <v>7</v>
      </c>
      <c r="W371">
        <v>0</v>
      </c>
    </row>
    <row r="372" spans="1:23">
      <c r="A372">
        <v>365</v>
      </c>
      <c r="B372">
        <v>32</v>
      </c>
      <c r="C372">
        <v>59.89</v>
      </c>
      <c r="D372">
        <v>70800</v>
      </c>
      <c r="E372">
        <v>41000</v>
      </c>
      <c r="F372">
        <v>0</v>
      </c>
      <c r="G372" t="s">
        <v>17</v>
      </c>
      <c r="H372">
        <v>165000</v>
      </c>
      <c r="I372">
        <v>135000</v>
      </c>
      <c r="J372">
        <v>360</v>
      </c>
      <c r="K372" t="str">
        <f t="shared" si="25"/>
        <v>More than 50</v>
      </c>
      <c r="L372" s="13">
        <f t="shared" si="26"/>
        <v>81.818181818181827</v>
      </c>
      <c r="M372" t="str">
        <f t="shared" si="27"/>
        <v>not selected</v>
      </c>
      <c r="N372" t="str">
        <f t="shared" si="28"/>
        <v>not selected</v>
      </c>
      <c r="O372">
        <v>81.818181818181827</v>
      </c>
      <c r="P372">
        <v>26</v>
      </c>
      <c r="Q372">
        <v>360</v>
      </c>
      <c r="R372">
        <v>0</v>
      </c>
      <c r="S372">
        <v>3.7366837521359777</v>
      </c>
      <c r="T372" t="str">
        <f t="shared" si="29"/>
        <v>More than 80%</v>
      </c>
      <c r="U372">
        <v>81.818181818181827</v>
      </c>
      <c r="V372">
        <v>26</v>
      </c>
      <c r="W372">
        <v>0</v>
      </c>
    </row>
    <row r="373" spans="1:23">
      <c r="A373">
        <v>366</v>
      </c>
      <c r="B373">
        <v>24</v>
      </c>
      <c r="C373">
        <v>14.17</v>
      </c>
      <c r="D373">
        <v>104000</v>
      </c>
      <c r="E373">
        <v>219000</v>
      </c>
      <c r="F373">
        <v>0</v>
      </c>
      <c r="G373" t="s">
        <v>17</v>
      </c>
      <c r="H373">
        <v>805000</v>
      </c>
      <c r="I373">
        <v>485000</v>
      </c>
      <c r="J373">
        <v>360</v>
      </c>
      <c r="K373" t="str">
        <f t="shared" si="25"/>
        <v>10-20</v>
      </c>
      <c r="L373" s="13">
        <f t="shared" si="26"/>
        <v>60.248447204968947</v>
      </c>
      <c r="M373" t="str">
        <f t="shared" si="27"/>
        <v>not selected</v>
      </c>
      <c r="N373" t="str">
        <f t="shared" si="28"/>
        <v>not selected</v>
      </c>
      <c r="O373">
        <v>60.248447204968947</v>
      </c>
      <c r="P373">
        <v>35</v>
      </c>
      <c r="Q373">
        <v>360</v>
      </c>
      <c r="R373">
        <v>0</v>
      </c>
      <c r="S373">
        <v>4.5993608588275769</v>
      </c>
      <c r="T373" t="str">
        <f t="shared" si="29"/>
        <v>Less than 80%</v>
      </c>
      <c r="U373">
        <v>60.248447204968947</v>
      </c>
      <c r="V373">
        <v>35</v>
      </c>
      <c r="W373">
        <v>0</v>
      </c>
    </row>
    <row r="374" spans="1:23">
      <c r="A374">
        <v>367</v>
      </c>
      <c r="B374">
        <v>36</v>
      </c>
      <c r="C374">
        <v>10.36</v>
      </c>
      <c r="D374">
        <v>96500</v>
      </c>
      <c r="E374">
        <v>133000</v>
      </c>
      <c r="F374">
        <v>0</v>
      </c>
      <c r="G374" t="s">
        <v>17</v>
      </c>
      <c r="H374">
        <v>775000</v>
      </c>
      <c r="I374">
        <v>375000</v>
      </c>
      <c r="J374">
        <v>360</v>
      </c>
      <c r="K374" t="str">
        <f t="shared" si="25"/>
        <v>10-20</v>
      </c>
      <c r="L374" s="13">
        <f t="shared" si="26"/>
        <v>48.387096774193552</v>
      </c>
      <c r="M374" t="str">
        <f t="shared" si="27"/>
        <v>not selected</v>
      </c>
      <c r="N374" t="str">
        <f t="shared" si="28"/>
        <v>not selected</v>
      </c>
      <c r="O374">
        <v>48.387096774193552</v>
      </c>
      <c r="P374">
        <v>42</v>
      </c>
      <c r="Q374">
        <v>360</v>
      </c>
      <c r="R374">
        <v>0</v>
      </c>
      <c r="S374">
        <v>4.9551916141223433</v>
      </c>
      <c r="T374" t="str">
        <f t="shared" si="29"/>
        <v>Less than 80%</v>
      </c>
      <c r="U374">
        <v>48.387096774193552</v>
      </c>
      <c r="V374">
        <v>42</v>
      </c>
      <c r="W374">
        <v>0</v>
      </c>
    </row>
    <row r="375" spans="1:23">
      <c r="A375">
        <v>368</v>
      </c>
      <c r="B375">
        <v>16</v>
      </c>
      <c r="C375">
        <v>8.3699999999999992</v>
      </c>
      <c r="D375">
        <v>70400</v>
      </c>
      <c r="E375">
        <v>52000</v>
      </c>
      <c r="F375">
        <v>0</v>
      </c>
      <c r="G375" t="s">
        <v>17</v>
      </c>
      <c r="H375">
        <v>255000</v>
      </c>
      <c r="I375">
        <v>135000</v>
      </c>
      <c r="J375">
        <v>360</v>
      </c>
      <c r="K375" t="str">
        <f t="shared" si="25"/>
        <v>0-10</v>
      </c>
      <c r="L375" s="13">
        <f t="shared" si="26"/>
        <v>52.941176470588239</v>
      </c>
      <c r="M375" t="str">
        <f t="shared" si="27"/>
        <v>not selected</v>
      </c>
      <c r="N375" t="str">
        <f t="shared" si="28"/>
        <v>not selected</v>
      </c>
      <c r="O375">
        <v>52.941176470588239</v>
      </c>
      <c r="P375">
        <v>28</v>
      </c>
      <c r="Q375">
        <v>360</v>
      </c>
      <c r="R375">
        <v>0</v>
      </c>
      <c r="S375">
        <v>5.0096512493467413</v>
      </c>
      <c r="T375" t="str">
        <f t="shared" si="29"/>
        <v>Less than 80%</v>
      </c>
      <c r="U375">
        <v>52.941176470588239</v>
      </c>
      <c r="V375">
        <v>28</v>
      </c>
      <c r="W375">
        <v>0</v>
      </c>
    </row>
    <row r="376" spans="1:23">
      <c r="A376">
        <v>369</v>
      </c>
      <c r="B376">
        <v>21</v>
      </c>
      <c r="C376">
        <v>18.95</v>
      </c>
      <c r="D376">
        <v>76900</v>
      </c>
      <c r="E376">
        <v>108000</v>
      </c>
      <c r="F376">
        <v>0</v>
      </c>
      <c r="G376" t="s">
        <v>17</v>
      </c>
      <c r="H376">
        <v>255000</v>
      </c>
      <c r="I376">
        <v>175000</v>
      </c>
      <c r="J376">
        <v>180</v>
      </c>
      <c r="K376" t="str">
        <f t="shared" si="25"/>
        <v>10-20</v>
      </c>
      <c r="L376" s="13">
        <f t="shared" si="26"/>
        <v>68.627450980392155</v>
      </c>
      <c r="M376" t="str">
        <f t="shared" si="27"/>
        <v>selected</v>
      </c>
      <c r="N376" t="str">
        <f t="shared" si="28"/>
        <v>not selected</v>
      </c>
      <c r="O376">
        <v>68.627450980392155</v>
      </c>
      <c r="P376">
        <v>34</v>
      </c>
      <c r="Q376">
        <v>180</v>
      </c>
      <c r="R376">
        <v>0</v>
      </c>
      <c r="S376">
        <v>5.4916274376589884</v>
      </c>
      <c r="T376" t="str">
        <f t="shared" si="29"/>
        <v>Less than 80%</v>
      </c>
      <c r="U376">
        <v>68.627450980392155</v>
      </c>
      <c r="V376">
        <v>34</v>
      </c>
      <c r="W376">
        <v>0</v>
      </c>
    </row>
    <row r="377" spans="1:23">
      <c r="A377">
        <v>370</v>
      </c>
      <c r="B377">
        <v>6</v>
      </c>
      <c r="C377">
        <v>25.17</v>
      </c>
      <c r="D377">
        <v>127900</v>
      </c>
      <c r="E377">
        <v>117000</v>
      </c>
      <c r="F377">
        <v>0</v>
      </c>
      <c r="G377" t="s">
        <v>17</v>
      </c>
      <c r="H377">
        <v>1215000</v>
      </c>
      <c r="I377">
        <v>395000</v>
      </c>
      <c r="J377">
        <v>240</v>
      </c>
      <c r="K377" t="str">
        <f t="shared" si="25"/>
        <v>20-30</v>
      </c>
      <c r="L377" s="13">
        <f t="shared" si="26"/>
        <v>32.510288065843625</v>
      </c>
      <c r="M377" t="str">
        <f t="shared" si="27"/>
        <v>not selected</v>
      </c>
      <c r="N377" t="str">
        <f t="shared" si="28"/>
        <v>not selected</v>
      </c>
      <c r="O377">
        <v>32.510288065843625</v>
      </c>
      <c r="P377">
        <v>56</v>
      </c>
      <c r="Q377">
        <v>240</v>
      </c>
      <c r="R377">
        <v>0</v>
      </c>
      <c r="S377">
        <v>4.9857854287602308</v>
      </c>
      <c r="T377" t="str">
        <f t="shared" si="29"/>
        <v>Less than 80%</v>
      </c>
      <c r="U377">
        <v>32.510288065843625</v>
      </c>
      <c r="V377">
        <v>56</v>
      </c>
      <c r="W377">
        <v>0</v>
      </c>
    </row>
    <row r="378" spans="1:23">
      <c r="A378">
        <v>371</v>
      </c>
      <c r="B378">
        <v>51</v>
      </c>
      <c r="C378">
        <v>81.58</v>
      </c>
      <c r="D378">
        <v>89400</v>
      </c>
      <c r="E378">
        <v>54000</v>
      </c>
      <c r="F378">
        <v>0</v>
      </c>
      <c r="G378" t="s">
        <v>17</v>
      </c>
      <c r="H378">
        <v>175000</v>
      </c>
      <c r="I378">
        <v>125000</v>
      </c>
      <c r="J378">
        <v>360</v>
      </c>
      <c r="K378" t="str">
        <f t="shared" si="25"/>
        <v>More than 50</v>
      </c>
      <c r="L378" s="13">
        <f t="shared" si="26"/>
        <v>71.428571428571431</v>
      </c>
      <c r="M378" t="str">
        <f t="shared" si="27"/>
        <v>not selected</v>
      </c>
      <c r="N378" t="str">
        <f t="shared" si="28"/>
        <v>not selected</v>
      </c>
      <c r="O378">
        <v>71.428571428571431</v>
      </c>
      <c r="P378">
        <v>12</v>
      </c>
      <c r="Q378">
        <v>360</v>
      </c>
      <c r="R378">
        <v>0</v>
      </c>
      <c r="S378">
        <v>3.6552204293103081</v>
      </c>
      <c r="T378" t="str">
        <f t="shared" si="29"/>
        <v>Less than 80%</v>
      </c>
      <c r="U378">
        <v>71.428571428571431</v>
      </c>
      <c r="V378">
        <v>12</v>
      </c>
      <c r="W378">
        <v>0</v>
      </c>
    </row>
    <row r="379" spans="1:23">
      <c r="A379">
        <v>372</v>
      </c>
      <c r="B379">
        <v>45</v>
      </c>
      <c r="C379">
        <v>28.43</v>
      </c>
      <c r="D379">
        <v>81000</v>
      </c>
      <c r="E379">
        <v>200000</v>
      </c>
      <c r="F379">
        <v>0</v>
      </c>
      <c r="G379" t="s">
        <v>17</v>
      </c>
      <c r="H379">
        <v>805000</v>
      </c>
      <c r="I379">
        <v>515000</v>
      </c>
      <c r="J379">
        <v>240</v>
      </c>
      <c r="K379" t="str">
        <f t="shared" si="25"/>
        <v>20-30</v>
      </c>
      <c r="L379" s="13">
        <f t="shared" si="26"/>
        <v>63.975155279503106</v>
      </c>
      <c r="M379" t="str">
        <f t="shared" si="27"/>
        <v>not selected</v>
      </c>
      <c r="N379" t="str">
        <f t="shared" si="28"/>
        <v>not selected</v>
      </c>
      <c r="O379">
        <v>63.975155279503106</v>
      </c>
      <c r="P379">
        <v>39</v>
      </c>
      <c r="Q379">
        <v>240</v>
      </c>
      <c r="R379">
        <v>0</v>
      </c>
      <c r="S379">
        <v>4.7040124424794989</v>
      </c>
      <c r="T379" t="str">
        <f t="shared" si="29"/>
        <v>Less than 80%</v>
      </c>
      <c r="U379">
        <v>63.975155279503106</v>
      </c>
      <c r="V379">
        <v>39</v>
      </c>
      <c r="W379">
        <v>0</v>
      </c>
    </row>
    <row r="380" spans="1:23">
      <c r="A380">
        <v>373</v>
      </c>
      <c r="B380">
        <v>6</v>
      </c>
      <c r="C380">
        <v>16.559999999999999</v>
      </c>
      <c r="D380">
        <v>70700</v>
      </c>
      <c r="E380">
        <v>1560000</v>
      </c>
      <c r="F380">
        <v>0</v>
      </c>
      <c r="G380" t="s">
        <v>17</v>
      </c>
      <c r="H380">
        <v>465000</v>
      </c>
      <c r="I380">
        <v>325000</v>
      </c>
      <c r="J380">
        <v>360</v>
      </c>
      <c r="K380" t="str">
        <f t="shared" si="25"/>
        <v>10-20</v>
      </c>
      <c r="L380" s="13">
        <f t="shared" si="26"/>
        <v>69.892473118279568</v>
      </c>
      <c r="M380" t="str">
        <f t="shared" si="27"/>
        <v>not selected</v>
      </c>
      <c r="N380" t="str">
        <f t="shared" si="28"/>
        <v>selected</v>
      </c>
      <c r="O380">
        <v>69.892473118279568</v>
      </c>
      <c r="P380">
        <v>24</v>
      </c>
      <c r="Q380">
        <v>360</v>
      </c>
      <c r="R380">
        <v>0</v>
      </c>
      <c r="S380">
        <v>4.0239058665923446</v>
      </c>
      <c r="T380" t="str">
        <f t="shared" si="29"/>
        <v>Less than 80%</v>
      </c>
      <c r="U380">
        <v>69.892473118279568</v>
      </c>
      <c r="V380">
        <v>24</v>
      </c>
      <c r="W380">
        <v>0</v>
      </c>
    </row>
    <row r="381" spans="1:23">
      <c r="A381">
        <v>374</v>
      </c>
      <c r="B381">
        <v>6</v>
      </c>
      <c r="C381">
        <v>19.63</v>
      </c>
      <c r="D381">
        <v>83300</v>
      </c>
      <c r="E381">
        <v>210000</v>
      </c>
      <c r="F381">
        <v>0</v>
      </c>
      <c r="G381" t="s">
        <v>17</v>
      </c>
      <c r="H381">
        <v>855000</v>
      </c>
      <c r="I381">
        <v>505000</v>
      </c>
      <c r="J381">
        <v>180</v>
      </c>
      <c r="K381" t="str">
        <f t="shared" si="25"/>
        <v>10-20</v>
      </c>
      <c r="L381" s="13">
        <f t="shared" si="26"/>
        <v>59.064327485380119</v>
      </c>
      <c r="M381" t="str">
        <f t="shared" si="27"/>
        <v>selected</v>
      </c>
      <c r="N381" t="str">
        <f t="shared" si="28"/>
        <v>not selected</v>
      </c>
      <c r="O381">
        <v>59.064327485380119</v>
      </c>
      <c r="P381">
        <v>25</v>
      </c>
      <c r="Q381">
        <v>180</v>
      </c>
      <c r="R381">
        <v>0</v>
      </c>
      <c r="S381">
        <v>3.7542222721265341</v>
      </c>
      <c r="T381" t="str">
        <f t="shared" si="29"/>
        <v>Less than 80%</v>
      </c>
      <c r="U381">
        <v>59.064327485380119</v>
      </c>
      <c r="V381">
        <v>25</v>
      </c>
      <c r="W381">
        <v>0</v>
      </c>
    </row>
    <row r="382" spans="1:23">
      <c r="A382">
        <v>375</v>
      </c>
      <c r="B382">
        <v>32</v>
      </c>
      <c r="C382">
        <v>61.26</v>
      </c>
      <c r="D382">
        <v>70800</v>
      </c>
      <c r="E382">
        <v>59000</v>
      </c>
      <c r="F382">
        <v>0</v>
      </c>
      <c r="G382" t="s">
        <v>17</v>
      </c>
      <c r="H382">
        <v>215000</v>
      </c>
      <c r="I382">
        <v>165000</v>
      </c>
      <c r="J382">
        <v>360</v>
      </c>
      <c r="K382" t="str">
        <f t="shared" si="25"/>
        <v>More than 50</v>
      </c>
      <c r="L382" s="13">
        <f t="shared" si="26"/>
        <v>76.744186046511629</v>
      </c>
      <c r="M382" t="str">
        <f t="shared" si="27"/>
        <v>not selected</v>
      </c>
      <c r="N382" t="str">
        <f t="shared" si="28"/>
        <v>not selected</v>
      </c>
      <c r="O382">
        <v>76.744186046511629</v>
      </c>
      <c r="P382">
        <v>33</v>
      </c>
      <c r="Q382">
        <v>360</v>
      </c>
      <c r="R382">
        <v>0</v>
      </c>
      <c r="S382">
        <v>4.5757829473445915</v>
      </c>
      <c r="T382" t="str">
        <f t="shared" si="29"/>
        <v>Less than 80%</v>
      </c>
      <c r="U382">
        <v>76.744186046511629</v>
      </c>
      <c r="V382">
        <v>33</v>
      </c>
      <c r="W382">
        <v>0</v>
      </c>
    </row>
    <row r="383" spans="1:23">
      <c r="A383">
        <v>376</v>
      </c>
      <c r="B383">
        <v>53</v>
      </c>
      <c r="C383">
        <v>18.98</v>
      </c>
      <c r="D383">
        <v>86300</v>
      </c>
      <c r="E383">
        <v>211000</v>
      </c>
      <c r="F383">
        <v>0</v>
      </c>
      <c r="G383" t="s">
        <v>17</v>
      </c>
      <c r="H383">
        <v>705000</v>
      </c>
      <c r="I383">
        <v>415000</v>
      </c>
      <c r="J383">
        <v>360</v>
      </c>
      <c r="K383" t="str">
        <f t="shared" si="25"/>
        <v>10-20</v>
      </c>
      <c r="L383" s="13">
        <f t="shared" si="26"/>
        <v>58.865248226950349</v>
      </c>
      <c r="M383" t="str">
        <f t="shared" si="27"/>
        <v>not selected</v>
      </c>
      <c r="N383" t="str">
        <f t="shared" si="28"/>
        <v>not selected</v>
      </c>
      <c r="O383">
        <v>58.865248226950349</v>
      </c>
      <c r="P383">
        <v>33</v>
      </c>
      <c r="Q383">
        <v>360</v>
      </c>
      <c r="R383">
        <v>0</v>
      </c>
      <c r="S383">
        <v>5.0122093228239883</v>
      </c>
      <c r="T383" t="str">
        <f t="shared" si="29"/>
        <v>Less than 80%</v>
      </c>
      <c r="U383">
        <v>58.865248226950349</v>
      </c>
      <c r="V383">
        <v>33</v>
      </c>
      <c r="W383">
        <v>0</v>
      </c>
    </row>
    <row r="384" spans="1:23">
      <c r="A384">
        <v>377</v>
      </c>
      <c r="B384">
        <v>51</v>
      </c>
      <c r="C384">
        <v>15.44</v>
      </c>
      <c r="D384">
        <v>83400</v>
      </c>
      <c r="E384">
        <v>44000</v>
      </c>
      <c r="F384">
        <v>0</v>
      </c>
      <c r="G384" t="s">
        <v>17</v>
      </c>
      <c r="H384">
        <v>265000</v>
      </c>
      <c r="I384">
        <v>115000</v>
      </c>
      <c r="J384">
        <v>360</v>
      </c>
      <c r="K384" t="str">
        <f t="shared" si="25"/>
        <v>10-20</v>
      </c>
      <c r="L384" s="13">
        <f t="shared" si="26"/>
        <v>43.39622641509434</v>
      </c>
      <c r="M384" t="str">
        <f t="shared" si="27"/>
        <v>not selected</v>
      </c>
      <c r="N384" t="str">
        <f t="shared" si="28"/>
        <v>not selected</v>
      </c>
      <c r="O384">
        <v>43.39622641509434</v>
      </c>
      <c r="P384">
        <v>38</v>
      </c>
      <c r="Q384">
        <v>360</v>
      </c>
      <c r="R384">
        <v>0</v>
      </c>
      <c r="S384">
        <v>5.2398847839671543</v>
      </c>
      <c r="T384" t="str">
        <f t="shared" si="29"/>
        <v>Less than 80%</v>
      </c>
      <c r="U384">
        <v>43.39622641509434</v>
      </c>
      <c r="V384">
        <v>38</v>
      </c>
      <c r="W384">
        <v>0</v>
      </c>
    </row>
    <row r="385" spans="1:23">
      <c r="A385">
        <v>378</v>
      </c>
      <c r="B385">
        <v>18</v>
      </c>
      <c r="C385">
        <v>4.3499999999999996</v>
      </c>
      <c r="D385">
        <v>81300</v>
      </c>
      <c r="E385">
        <v>80000</v>
      </c>
      <c r="F385">
        <v>0</v>
      </c>
      <c r="G385" t="s">
        <v>17</v>
      </c>
      <c r="H385">
        <v>255000</v>
      </c>
      <c r="I385">
        <v>245000</v>
      </c>
      <c r="J385">
        <v>360</v>
      </c>
      <c r="K385" t="str">
        <f t="shared" si="25"/>
        <v>0-10</v>
      </c>
      <c r="L385" s="13">
        <f t="shared" si="26"/>
        <v>96.078431372549019</v>
      </c>
      <c r="M385" t="str">
        <f t="shared" si="27"/>
        <v>not selected</v>
      </c>
      <c r="N385" t="str">
        <f t="shared" si="28"/>
        <v>not selected</v>
      </c>
      <c r="O385">
        <v>96.078431372549019</v>
      </c>
      <c r="P385">
        <v>43</v>
      </c>
      <c r="Q385">
        <v>360</v>
      </c>
      <c r="R385">
        <v>0</v>
      </c>
      <c r="S385">
        <v>5.8083459259522598</v>
      </c>
      <c r="T385" t="str">
        <f t="shared" si="29"/>
        <v>More than 80%</v>
      </c>
      <c r="U385">
        <v>96.078431372549019</v>
      </c>
      <c r="V385">
        <v>43</v>
      </c>
      <c r="W385">
        <v>0</v>
      </c>
    </row>
    <row r="386" spans="1:23">
      <c r="A386">
        <v>379</v>
      </c>
      <c r="B386">
        <v>13</v>
      </c>
      <c r="C386">
        <v>40.08</v>
      </c>
      <c r="D386">
        <v>82200</v>
      </c>
      <c r="E386">
        <v>208000</v>
      </c>
      <c r="F386">
        <v>0</v>
      </c>
      <c r="G386" t="s">
        <v>17</v>
      </c>
      <c r="H386">
        <v>625000</v>
      </c>
      <c r="I386">
        <v>455000</v>
      </c>
      <c r="J386">
        <v>360</v>
      </c>
      <c r="K386" t="str">
        <f t="shared" si="25"/>
        <v>40-50</v>
      </c>
      <c r="L386" s="13">
        <f t="shared" si="26"/>
        <v>72.8</v>
      </c>
      <c r="M386" t="str">
        <f t="shared" si="27"/>
        <v>not selected</v>
      </c>
      <c r="N386" t="str">
        <f t="shared" si="28"/>
        <v>not selected</v>
      </c>
      <c r="O386">
        <v>72.8</v>
      </c>
      <c r="P386">
        <v>53</v>
      </c>
      <c r="Q386">
        <v>360</v>
      </c>
      <c r="R386">
        <v>0</v>
      </c>
      <c r="S386">
        <v>4.4109070277287126</v>
      </c>
      <c r="T386" t="str">
        <f t="shared" si="29"/>
        <v>Less than 80%</v>
      </c>
      <c r="U386">
        <v>72.8</v>
      </c>
      <c r="V386">
        <v>53</v>
      </c>
      <c r="W386">
        <v>0</v>
      </c>
    </row>
    <row r="387" spans="1:23">
      <c r="A387">
        <v>380</v>
      </c>
      <c r="B387">
        <v>39</v>
      </c>
      <c r="C387">
        <v>7.3</v>
      </c>
      <c r="D387">
        <v>85200</v>
      </c>
      <c r="E387">
        <v>109000</v>
      </c>
      <c r="F387">
        <v>0</v>
      </c>
      <c r="G387" t="s">
        <v>17</v>
      </c>
      <c r="H387">
        <v>325000</v>
      </c>
      <c r="I387">
        <v>275000</v>
      </c>
      <c r="J387">
        <v>360</v>
      </c>
      <c r="K387" t="str">
        <f t="shared" si="25"/>
        <v>0-10</v>
      </c>
      <c r="L387" s="13">
        <f t="shared" si="26"/>
        <v>84.615384615384613</v>
      </c>
      <c r="M387" t="str">
        <f t="shared" si="27"/>
        <v>not selected</v>
      </c>
      <c r="N387" t="str">
        <f t="shared" si="28"/>
        <v>not selected</v>
      </c>
      <c r="O387">
        <v>84.615384615384613</v>
      </c>
      <c r="P387">
        <v>32</v>
      </c>
      <c r="Q387">
        <v>360</v>
      </c>
      <c r="R387">
        <v>0</v>
      </c>
      <c r="S387">
        <v>4.6117387540525261</v>
      </c>
      <c r="T387" t="str">
        <f t="shared" si="29"/>
        <v>More than 80%</v>
      </c>
      <c r="U387">
        <v>84.615384615384613</v>
      </c>
      <c r="V387">
        <v>32</v>
      </c>
      <c r="W387">
        <v>0</v>
      </c>
    </row>
    <row r="388" spans="1:23">
      <c r="A388">
        <v>381</v>
      </c>
      <c r="B388">
        <v>8</v>
      </c>
      <c r="C388">
        <v>22.75</v>
      </c>
      <c r="D388">
        <v>100000</v>
      </c>
      <c r="E388">
        <v>160000</v>
      </c>
      <c r="F388">
        <v>0</v>
      </c>
      <c r="G388" t="s">
        <v>17</v>
      </c>
      <c r="H388">
        <v>425000</v>
      </c>
      <c r="I388">
        <v>265000</v>
      </c>
      <c r="J388">
        <v>360</v>
      </c>
      <c r="K388" t="str">
        <f t="shared" si="25"/>
        <v>20-30</v>
      </c>
      <c r="L388" s="13">
        <f t="shared" si="26"/>
        <v>62.352941176470587</v>
      </c>
      <c r="M388" t="str">
        <f t="shared" si="27"/>
        <v>not selected</v>
      </c>
      <c r="N388" t="str">
        <f t="shared" si="28"/>
        <v>not selected</v>
      </c>
      <c r="O388">
        <v>62.352941176470587</v>
      </c>
      <c r="P388">
        <v>15</v>
      </c>
      <c r="Q388">
        <v>360</v>
      </c>
      <c r="R388">
        <v>0</v>
      </c>
      <c r="S388">
        <v>4.1005191826194194</v>
      </c>
      <c r="T388" t="str">
        <f t="shared" si="29"/>
        <v>Less than 80%</v>
      </c>
      <c r="U388">
        <v>62.352941176470587</v>
      </c>
      <c r="V388">
        <v>15</v>
      </c>
      <c r="W388">
        <v>0</v>
      </c>
    </row>
    <row r="389" spans="1:23">
      <c r="A389">
        <v>382</v>
      </c>
      <c r="B389">
        <v>20</v>
      </c>
      <c r="C389">
        <v>11.96</v>
      </c>
      <c r="D389">
        <v>85900</v>
      </c>
      <c r="E389">
        <v>232000</v>
      </c>
      <c r="F389">
        <v>0</v>
      </c>
      <c r="G389" t="s">
        <v>17</v>
      </c>
      <c r="H389">
        <v>1155000</v>
      </c>
      <c r="I389">
        <v>515000</v>
      </c>
      <c r="J389">
        <v>240</v>
      </c>
      <c r="K389" t="str">
        <f t="shared" si="25"/>
        <v>10-20</v>
      </c>
      <c r="L389" s="13">
        <f t="shared" si="26"/>
        <v>44.588744588744589</v>
      </c>
      <c r="M389" t="str">
        <f t="shared" si="27"/>
        <v>not selected</v>
      </c>
      <c r="N389" t="str">
        <f t="shared" si="28"/>
        <v>selected</v>
      </c>
      <c r="O389">
        <v>44.588744588744589</v>
      </c>
      <c r="P389">
        <v>39</v>
      </c>
      <c r="Q389">
        <v>240</v>
      </c>
      <c r="R389">
        <v>0</v>
      </c>
      <c r="S389">
        <v>4.3982897987781397</v>
      </c>
      <c r="T389" t="str">
        <f t="shared" si="29"/>
        <v>Less than 80%</v>
      </c>
      <c r="U389">
        <v>44.588744588744589</v>
      </c>
      <c r="V389">
        <v>39</v>
      </c>
      <c r="W389">
        <v>0</v>
      </c>
    </row>
    <row r="390" spans="1:23">
      <c r="A390">
        <v>383</v>
      </c>
      <c r="B390">
        <v>39</v>
      </c>
      <c r="C390">
        <v>3.66</v>
      </c>
      <c r="D390">
        <v>72800</v>
      </c>
      <c r="E390">
        <v>100000</v>
      </c>
      <c r="F390">
        <v>0</v>
      </c>
      <c r="G390" t="s">
        <v>17</v>
      </c>
      <c r="H390">
        <v>265000</v>
      </c>
      <c r="I390">
        <v>165000</v>
      </c>
      <c r="J390">
        <v>240</v>
      </c>
      <c r="K390" t="str">
        <f t="shared" si="25"/>
        <v>0-10</v>
      </c>
      <c r="L390" s="13">
        <f t="shared" si="26"/>
        <v>62.264150943396224</v>
      </c>
      <c r="M390" t="str">
        <f t="shared" si="27"/>
        <v>not selected</v>
      </c>
      <c r="N390" t="str">
        <f t="shared" si="28"/>
        <v>not selected</v>
      </c>
      <c r="O390">
        <v>62.264150943396224</v>
      </c>
      <c r="P390">
        <v>35</v>
      </c>
      <c r="Q390">
        <v>240</v>
      </c>
      <c r="R390">
        <v>0</v>
      </c>
      <c r="S390">
        <v>5.3171694777318574</v>
      </c>
      <c r="T390" t="str">
        <f t="shared" si="29"/>
        <v>Less than 80%</v>
      </c>
      <c r="U390">
        <v>62.264150943396224</v>
      </c>
      <c r="V390">
        <v>35</v>
      </c>
      <c r="W390">
        <v>0</v>
      </c>
    </row>
    <row r="391" spans="1:23">
      <c r="A391">
        <v>384</v>
      </c>
      <c r="B391">
        <v>17</v>
      </c>
      <c r="C391">
        <v>19.190000000000001</v>
      </c>
      <c r="D391">
        <v>89100</v>
      </c>
      <c r="E391">
        <v>88000</v>
      </c>
      <c r="F391">
        <v>1</v>
      </c>
      <c r="G391" t="s">
        <v>17</v>
      </c>
      <c r="H391">
        <v>285000</v>
      </c>
      <c r="I391">
        <v>255000</v>
      </c>
      <c r="J391">
        <v>360</v>
      </c>
      <c r="K391" t="str">
        <f t="shared" si="25"/>
        <v>10-20</v>
      </c>
      <c r="L391" s="13">
        <f t="shared" si="26"/>
        <v>89.473684210526315</v>
      </c>
      <c r="M391" t="str">
        <f t="shared" si="27"/>
        <v>not selected</v>
      </c>
      <c r="N391" t="str">
        <f t="shared" si="28"/>
        <v>not selected</v>
      </c>
      <c r="O391">
        <v>89.473684210526315</v>
      </c>
      <c r="P391">
        <v>22</v>
      </c>
      <c r="Q391">
        <v>360</v>
      </c>
      <c r="R391">
        <v>1</v>
      </c>
      <c r="S391">
        <v>5.7530282509842792</v>
      </c>
      <c r="T391" t="str">
        <f t="shared" si="29"/>
        <v>More than 80%</v>
      </c>
      <c r="U391">
        <v>89.473684210526315</v>
      </c>
      <c r="V391">
        <v>22</v>
      </c>
      <c r="W391">
        <v>1</v>
      </c>
    </row>
    <row r="392" spans="1:23">
      <c r="A392">
        <v>385</v>
      </c>
      <c r="B392">
        <v>13</v>
      </c>
      <c r="C392">
        <v>17.190000000000001</v>
      </c>
      <c r="D392">
        <v>82200</v>
      </c>
      <c r="E392">
        <v>69000</v>
      </c>
      <c r="F392">
        <v>0</v>
      </c>
      <c r="G392" t="s">
        <v>17</v>
      </c>
      <c r="H392">
        <v>305000</v>
      </c>
      <c r="I392">
        <v>275000</v>
      </c>
      <c r="J392">
        <v>360</v>
      </c>
      <c r="K392" t="str">
        <f t="shared" ref="K392:K455" si="30">IF(C392&gt;=50,"More than 50",IF(C392&gt;=40,"40-50",IF(C392&gt;=30,"30-40",IF(C392&gt;=20,"20-30",IF(C392&gt;=10,"10-20","0-10")))))</f>
        <v>10-20</v>
      </c>
      <c r="L392" s="13">
        <f t="shared" ref="L392:L455" si="31">(I392/H392)*100</f>
        <v>90.163934426229503</v>
      </c>
      <c r="M392" t="str">
        <f t="shared" si="27"/>
        <v>not selected</v>
      </c>
      <c r="N392" t="str">
        <f t="shared" si="28"/>
        <v>not selected</v>
      </c>
      <c r="O392">
        <v>90.163934426229503</v>
      </c>
      <c r="P392">
        <v>41</v>
      </c>
      <c r="Q392">
        <v>360</v>
      </c>
      <c r="R392">
        <v>0</v>
      </c>
      <c r="S392">
        <v>5.190809168889718</v>
      </c>
      <c r="T392" t="str">
        <f t="shared" si="29"/>
        <v>More than 80%</v>
      </c>
      <c r="U392">
        <v>90.163934426229503</v>
      </c>
      <c r="V392">
        <v>41</v>
      </c>
      <c r="W392">
        <v>0</v>
      </c>
    </row>
    <row r="393" spans="1:23">
      <c r="A393">
        <v>386</v>
      </c>
      <c r="B393">
        <v>39</v>
      </c>
      <c r="C393">
        <v>3.04</v>
      </c>
      <c r="D393">
        <v>65100</v>
      </c>
      <c r="E393">
        <v>58000</v>
      </c>
      <c r="F393">
        <v>0</v>
      </c>
      <c r="G393" t="s">
        <v>17</v>
      </c>
      <c r="H393">
        <v>145000</v>
      </c>
      <c r="I393">
        <v>135000</v>
      </c>
      <c r="J393">
        <v>360</v>
      </c>
      <c r="K393" t="str">
        <f t="shared" si="30"/>
        <v>0-10</v>
      </c>
      <c r="L393" s="13">
        <f t="shared" si="31"/>
        <v>93.103448275862064</v>
      </c>
      <c r="M393" t="str">
        <f t="shared" ref="M393:M456" si="32">IF(AND(L393&lt;=80,J393&lt;=180),"selected","not selected")</f>
        <v>not selected</v>
      </c>
      <c r="N393" t="str">
        <f t="shared" ref="N393:N456" si="33">IF(AND(L393&lt;=80,E393&gt;=222400),"selected","not selected")</f>
        <v>not selected</v>
      </c>
      <c r="O393">
        <v>93.103448275862064</v>
      </c>
      <c r="P393">
        <v>27</v>
      </c>
      <c r="Q393">
        <v>360</v>
      </c>
      <c r="R393">
        <v>0</v>
      </c>
      <c r="S393">
        <v>4.5896906744764898</v>
      </c>
      <c r="T393" t="str">
        <f t="shared" ref="T393:T456" si="34">IF(L393&gt;=80,"More than 80%","Less than 80%")</f>
        <v>More than 80%</v>
      </c>
      <c r="U393">
        <v>93.103448275862064</v>
      </c>
      <c r="V393">
        <v>27</v>
      </c>
      <c r="W393">
        <v>0</v>
      </c>
    </row>
    <row r="394" spans="1:23">
      <c r="A394">
        <v>387</v>
      </c>
      <c r="B394">
        <v>42</v>
      </c>
      <c r="C394">
        <v>5.53</v>
      </c>
      <c r="D394">
        <v>80400</v>
      </c>
      <c r="E394">
        <v>110000</v>
      </c>
      <c r="F394">
        <v>0</v>
      </c>
      <c r="G394" t="s">
        <v>17</v>
      </c>
      <c r="H394">
        <v>325000</v>
      </c>
      <c r="I394">
        <v>255000</v>
      </c>
      <c r="J394">
        <v>360</v>
      </c>
      <c r="K394" t="str">
        <f t="shared" si="30"/>
        <v>0-10</v>
      </c>
      <c r="L394" s="13">
        <f t="shared" si="31"/>
        <v>78.461538461538467</v>
      </c>
      <c r="M394" t="str">
        <f t="shared" si="32"/>
        <v>not selected</v>
      </c>
      <c r="N394" t="str">
        <f t="shared" si="33"/>
        <v>not selected</v>
      </c>
      <c r="O394">
        <v>78.461538461538467</v>
      </c>
      <c r="P394">
        <v>22</v>
      </c>
      <c r="Q394">
        <v>360</v>
      </c>
      <c r="R394">
        <v>0</v>
      </c>
      <c r="S394">
        <v>5.4665985616244974</v>
      </c>
      <c r="T394" t="str">
        <f t="shared" si="34"/>
        <v>Less than 80%</v>
      </c>
      <c r="U394">
        <v>78.461538461538467</v>
      </c>
      <c r="V394">
        <v>22</v>
      </c>
      <c r="W394">
        <v>0</v>
      </c>
    </row>
    <row r="395" spans="1:23">
      <c r="A395">
        <v>388</v>
      </c>
      <c r="B395">
        <v>48</v>
      </c>
      <c r="C395">
        <v>91.46</v>
      </c>
      <c r="D395">
        <v>80000</v>
      </c>
      <c r="E395">
        <v>45000</v>
      </c>
      <c r="F395">
        <v>0</v>
      </c>
      <c r="G395" t="s">
        <v>17</v>
      </c>
      <c r="H395">
        <v>185000</v>
      </c>
      <c r="I395">
        <v>125000</v>
      </c>
      <c r="J395">
        <v>360</v>
      </c>
      <c r="K395" t="str">
        <f t="shared" si="30"/>
        <v>More than 50</v>
      </c>
      <c r="L395" s="13">
        <f t="shared" si="31"/>
        <v>67.567567567567565</v>
      </c>
      <c r="M395" t="str">
        <f t="shared" si="32"/>
        <v>not selected</v>
      </c>
      <c r="N395" t="str">
        <f t="shared" si="33"/>
        <v>not selected</v>
      </c>
      <c r="O395">
        <v>67.567567567567565</v>
      </c>
      <c r="P395">
        <v>26</v>
      </c>
      <c r="Q395">
        <v>360</v>
      </c>
      <c r="R395">
        <v>0</v>
      </c>
      <c r="S395">
        <v>4.0984223516554508</v>
      </c>
      <c r="T395" t="str">
        <f t="shared" si="34"/>
        <v>Less than 80%</v>
      </c>
      <c r="U395">
        <v>67.567567567567565</v>
      </c>
      <c r="V395">
        <v>26</v>
      </c>
      <c r="W395">
        <v>0</v>
      </c>
    </row>
    <row r="396" spans="1:23">
      <c r="A396">
        <v>389</v>
      </c>
      <c r="B396">
        <v>26</v>
      </c>
      <c r="C396">
        <v>5.37</v>
      </c>
      <c r="D396">
        <v>79700</v>
      </c>
      <c r="E396">
        <v>138000</v>
      </c>
      <c r="F396">
        <v>0</v>
      </c>
      <c r="G396" t="s">
        <v>17</v>
      </c>
      <c r="H396">
        <v>325000</v>
      </c>
      <c r="I396">
        <v>245000</v>
      </c>
      <c r="J396">
        <v>180</v>
      </c>
      <c r="K396" t="str">
        <f t="shared" si="30"/>
        <v>0-10</v>
      </c>
      <c r="L396" s="13">
        <f t="shared" si="31"/>
        <v>75.384615384615387</v>
      </c>
      <c r="M396" t="str">
        <f t="shared" si="32"/>
        <v>selected</v>
      </c>
      <c r="N396" t="str">
        <f t="shared" si="33"/>
        <v>not selected</v>
      </c>
      <c r="O396">
        <v>75.384615384615387</v>
      </c>
      <c r="P396">
        <v>26</v>
      </c>
      <c r="Q396">
        <v>180</v>
      </c>
      <c r="R396">
        <v>0</v>
      </c>
      <c r="S396">
        <v>4.9691571883624217</v>
      </c>
      <c r="T396" t="str">
        <f t="shared" si="34"/>
        <v>Less than 80%</v>
      </c>
      <c r="U396">
        <v>75.384615384615387</v>
      </c>
      <c r="V396">
        <v>26</v>
      </c>
      <c r="W396">
        <v>0</v>
      </c>
    </row>
    <row r="397" spans="1:23">
      <c r="A397">
        <v>390</v>
      </c>
      <c r="B397">
        <v>2</v>
      </c>
      <c r="C397">
        <v>16.91</v>
      </c>
      <c r="D397">
        <v>93100</v>
      </c>
      <c r="E397">
        <v>66000</v>
      </c>
      <c r="F397">
        <v>0</v>
      </c>
      <c r="G397" t="s">
        <v>17</v>
      </c>
      <c r="H397">
        <v>315000</v>
      </c>
      <c r="I397">
        <v>245000</v>
      </c>
      <c r="J397">
        <v>360</v>
      </c>
      <c r="K397" t="str">
        <f t="shared" si="30"/>
        <v>10-20</v>
      </c>
      <c r="L397" s="13">
        <f t="shared" si="31"/>
        <v>77.777777777777786</v>
      </c>
      <c r="M397" t="str">
        <f t="shared" si="32"/>
        <v>not selected</v>
      </c>
      <c r="N397" t="str">
        <f t="shared" si="33"/>
        <v>not selected</v>
      </c>
      <c r="O397">
        <v>77.777777777777786</v>
      </c>
      <c r="P397">
        <v>27</v>
      </c>
      <c r="Q397">
        <v>360</v>
      </c>
      <c r="R397">
        <v>0</v>
      </c>
      <c r="S397">
        <v>4.2127151475696705</v>
      </c>
      <c r="T397" t="str">
        <f t="shared" si="34"/>
        <v>Less than 80%</v>
      </c>
      <c r="U397">
        <v>77.777777777777786</v>
      </c>
      <c r="V397">
        <v>27</v>
      </c>
      <c r="W397">
        <v>0</v>
      </c>
    </row>
    <row r="398" spans="1:23">
      <c r="A398">
        <v>391</v>
      </c>
      <c r="B398">
        <v>53</v>
      </c>
      <c r="C398">
        <v>14.44</v>
      </c>
      <c r="D398">
        <v>106900</v>
      </c>
      <c r="E398">
        <v>173000</v>
      </c>
      <c r="F398">
        <v>0</v>
      </c>
      <c r="G398" t="s">
        <v>17</v>
      </c>
      <c r="H398">
        <v>785000</v>
      </c>
      <c r="I398">
        <v>565000</v>
      </c>
      <c r="J398">
        <v>360</v>
      </c>
      <c r="K398" t="str">
        <f t="shared" si="30"/>
        <v>10-20</v>
      </c>
      <c r="L398" s="13">
        <f t="shared" si="31"/>
        <v>71.974522292993626</v>
      </c>
      <c r="M398" t="str">
        <f t="shared" si="32"/>
        <v>not selected</v>
      </c>
      <c r="N398" t="str">
        <f t="shared" si="33"/>
        <v>not selected</v>
      </c>
      <c r="O398">
        <v>71.974522292993626</v>
      </c>
      <c r="P398">
        <v>28</v>
      </c>
      <c r="Q398">
        <v>360</v>
      </c>
      <c r="R398">
        <v>0</v>
      </c>
      <c r="S398">
        <v>3.6967178770096978</v>
      </c>
      <c r="T398" t="str">
        <f t="shared" si="34"/>
        <v>Less than 80%</v>
      </c>
      <c r="U398">
        <v>71.974522292993626</v>
      </c>
      <c r="V398">
        <v>28</v>
      </c>
      <c r="W398">
        <v>0</v>
      </c>
    </row>
    <row r="399" spans="1:23">
      <c r="A399">
        <v>392</v>
      </c>
      <c r="B399">
        <v>12</v>
      </c>
      <c r="C399">
        <v>31.33</v>
      </c>
      <c r="D399">
        <v>82300</v>
      </c>
      <c r="E399">
        <v>159000</v>
      </c>
      <c r="F399">
        <v>0</v>
      </c>
      <c r="G399" t="s">
        <v>17</v>
      </c>
      <c r="H399">
        <v>165000</v>
      </c>
      <c r="I399">
        <v>115000</v>
      </c>
      <c r="J399">
        <v>360</v>
      </c>
      <c r="K399" t="str">
        <f t="shared" si="30"/>
        <v>30-40</v>
      </c>
      <c r="L399" s="13">
        <f t="shared" si="31"/>
        <v>69.696969696969703</v>
      </c>
      <c r="M399" t="str">
        <f t="shared" si="32"/>
        <v>not selected</v>
      </c>
      <c r="N399" t="str">
        <f t="shared" si="33"/>
        <v>not selected</v>
      </c>
      <c r="O399">
        <v>69.696969696969703</v>
      </c>
      <c r="P399">
        <v>38</v>
      </c>
      <c r="Q399">
        <v>360</v>
      </c>
      <c r="R399">
        <v>0</v>
      </c>
      <c r="S399">
        <v>4.5304575497711337</v>
      </c>
      <c r="T399" t="str">
        <f t="shared" si="34"/>
        <v>Less than 80%</v>
      </c>
      <c r="U399">
        <v>69.696969696969703</v>
      </c>
      <c r="V399">
        <v>38</v>
      </c>
      <c r="W399">
        <v>0</v>
      </c>
    </row>
    <row r="400" spans="1:23">
      <c r="A400">
        <v>393</v>
      </c>
      <c r="B400">
        <v>35</v>
      </c>
      <c r="C400">
        <v>26.44</v>
      </c>
      <c r="D400">
        <v>54700</v>
      </c>
      <c r="E400">
        <v>66000</v>
      </c>
      <c r="F400">
        <v>0</v>
      </c>
      <c r="G400" t="s">
        <v>17</v>
      </c>
      <c r="H400">
        <v>165000</v>
      </c>
      <c r="I400">
        <v>155000</v>
      </c>
      <c r="J400">
        <v>360</v>
      </c>
      <c r="K400" t="str">
        <f t="shared" si="30"/>
        <v>20-30</v>
      </c>
      <c r="L400" s="13">
        <f t="shared" si="31"/>
        <v>93.939393939393938</v>
      </c>
      <c r="M400" t="str">
        <f t="shared" si="32"/>
        <v>not selected</v>
      </c>
      <c r="N400" t="str">
        <f t="shared" si="33"/>
        <v>not selected</v>
      </c>
      <c r="O400">
        <v>93.939393939393938</v>
      </c>
      <c r="P400">
        <v>18</v>
      </c>
      <c r="Q400">
        <v>360</v>
      </c>
      <c r="R400">
        <v>0</v>
      </c>
      <c r="S400">
        <v>4.213277311778028</v>
      </c>
      <c r="T400" t="str">
        <f t="shared" si="34"/>
        <v>More than 80%</v>
      </c>
      <c r="U400">
        <v>93.939393939393938</v>
      </c>
      <c r="V400">
        <v>18</v>
      </c>
      <c r="W400">
        <v>0</v>
      </c>
    </row>
    <row r="401" spans="1:23">
      <c r="A401">
        <v>394</v>
      </c>
      <c r="B401">
        <v>12</v>
      </c>
      <c r="C401">
        <v>45.18</v>
      </c>
      <c r="D401">
        <v>74800</v>
      </c>
      <c r="E401">
        <v>100000</v>
      </c>
      <c r="F401">
        <v>0</v>
      </c>
      <c r="G401" t="s">
        <v>17</v>
      </c>
      <c r="H401">
        <v>295000</v>
      </c>
      <c r="I401">
        <v>185000</v>
      </c>
      <c r="J401">
        <v>180</v>
      </c>
      <c r="K401" t="str">
        <f t="shared" si="30"/>
        <v>40-50</v>
      </c>
      <c r="L401" s="13">
        <f t="shared" si="31"/>
        <v>62.711864406779661</v>
      </c>
      <c r="M401" t="str">
        <f t="shared" si="32"/>
        <v>selected</v>
      </c>
      <c r="N401" t="str">
        <f t="shared" si="33"/>
        <v>not selected</v>
      </c>
      <c r="O401">
        <v>62.711864406779661</v>
      </c>
      <c r="P401">
        <v>41</v>
      </c>
      <c r="Q401">
        <v>180</v>
      </c>
      <c r="R401">
        <v>0</v>
      </c>
      <c r="S401">
        <v>5.125242659598757</v>
      </c>
      <c r="T401" t="str">
        <f t="shared" si="34"/>
        <v>Less than 80%</v>
      </c>
      <c r="U401">
        <v>62.711864406779661</v>
      </c>
      <c r="V401">
        <v>41</v>
      </c>
      <c r="W401">
        <v>0</v>
      </c>
    </row>
    <row r="402" spans="1:23">
      <c r="A402">
        <v>395</v>
      </c>
      <c r="B402">
        <v>4</v>
      </c>
      <c r="C402">
        <v>5.89</v>
      </c>
      <c r="D402">
        <v>77800</v>
      </c>
      <c r="E402">
        <v>156000</v>
      </c>
      <c r="F402">
        <v>0</v>
      </c>
      <c r="G402" t="s">
        <v>17</v>
      </c>
      <c r="H402">
        <v>435000</v>
      </c>
      <c r="I402">
        <v>285000</v>
      </c>
      <c r="J402">
        <v>180</v>
      </c>
      <c r="K402" t="str">
        <f t="shared" si="30"/>
        <v>0-10</v>
      </c>
      <c r="L402" s="13">
        <f t="shared" si="31"/>
        <v>65.517241379310349</v>
      </c>
      <c r="M402" t="str">
        <f t="shared" si="32"/>
        <v>selected</v>
      </c>
      <c r="N402" t="str">
        <f t="shared" si="33"/>
        <v>not selected</v>
      </c>
      <c r="O402">
        <v>65.517241379310349</v>
      </c>
      <c r="P402">
        <v>15</v>
      </c>
      <c r="Q402">
        <v>180</v>
      </c>
      <c r="R402">
        <v>0</v>
      </c>
      <c r="S402">
        <v>4.2424065665923338</v>
      </c>
      <c r="T402" t="str">
        <f t="shared" si="34"/>
        <v>Less than 80%</v>
      </c>
      <c r="U402">
        <v>65.517241379310349</v>
      </c>
      <c r="V402">
        <v>15</v>
      </c>
      <c r="W402">
        <v>0</v>
      </c>
    </row>
    <row r="403" spans="1:23">
      <c r="A403">
        <v>396</v>
      </c>
      <c r="B403">
        <v>4</v>
      </c>
      <c r="C403">
        <v>45.81</v>
      </c>
      <c r="D403">
        <v>77800</v>
      </c>
      <c r="E403">
        <v>168000</v>
      </c>
      <c r="F403">
        <v>0</v>
      </c>
      <c r="G403" t="s">
        <v>17</v>
      </c>
      <c r="H403">
        <v>355000</v>
      </c>
      <c r="I403">
        <v>295000</v>
      </c>
      <c r="J403">
        <v>360</v>
      </c>
      <c r="K403" t="str">
        <f t="shared" si="30"/>
        <v>40-50</v>
      </c>
      <c r="L403" s="13">
        <f t="shared" si="31"/>
        <v>83.098591549295776</v>
      </c>
      <c r="M403" t="str">
        <f t="shared" si="32"/>
        <v>not selected</v>
      </c>
      <c r="N403" t="str">
        <f t="shared" si="33"/>
        <v>not selected</v>
      </c>
      <c r="O403">
        <v>83.098591549295776</v>
      </c>
      <c r="P403">
        <v>32</v>
      </c>
      <c r="Q403">
        <v>360</v>
      </c>
      <c r="R403">
        <v>0</v>
      </c>
      <c r="S403">
        <v>5.2891205962060619</v>
      </c>
      <c r="T403" t="str">
        <f t="shared" si="34"/>
        <v>More than 80%</v>
      </c>
      <c r="U403">
        <v>83.098591549295776</v>
      </c>
      <c r="V403">
        <v>32</v>
      </c>
      <c r="W403">
        <v>0</v>
      </c>
    </row>
    <row r="404" spans="1:23">
      <c r="A404">
        <v>397</v>
      </c>
      <c r="B404">
        <v>51</v>
      </c>
      <c r="C404">
        <v>33.18</v>
      </c>
      <c r="D404">
        <v>82400</v>
      </c>
      <c r="E404">
        <v>115000</v>
      </c>
      <c r="F404">
        <v>0</v>
      </c>
      <c r="G404" t="s">
        <v>17</v>
      </c>
      <c r="H404">
        <v>385000</v>
      </c>
      <c r="I404">
        <v>305000</v>
      </c>
      <c r="J404">
        <v>360</v>
      </c>
      <c r="K404" t="str">
        <f t="shared" si="30"/>
        <v>30-40</v>
      </c>
      <c r="L404" s="13">
        <f t="shared" si="31"/>
        <v>79.220779220779221</v>
      </c>
      <c r="M404" t="str">
        <f t="shared" si="32"/>
        <v>not selected</v>
      </c>
      <c r="N404" t="str">
        <f t="shared" si="33"/>
        <v>not selected</v>
      </c>
      <c r="O404">
        <v>79.220779220779221</v>
      </c>
      <c r="P404">
        <v>22</v>
      </c>
      <c r="Q404">
        <v>360</v>
      </c>
      <c r="R404">
        <v>0</v>
      </c>
      <c r="S404">
        <v>5.2205204464638886</v>
      </c>
      <c r="T404" t="str">
        <f t="shared" si="34"/>
        <v>Less than 80%</v>
      </c>
      <c r="U404">
        <v>79.220779220779221</v>
      </c>
      <c r="V404">
        <v>22</v>
      </c>
      <c r="W404">
        <v>0</v>
      </c>
    </row>
    <row r="405" spans="1:23">
      <c r="A405">
        <v>398</v>
      </c>
      <c r="B405">
        <v>37</v>
      </c>
      <c r="C405">
        <v>42.23</v>
      </c>
      <c r="D405">
        <v>88900</v>
      </c>
      <c r="E405">
        <v>235000</v>
      </c>
      <c r="F405">
        <v>1</v>
      </c>
      <c r="G405" t="s">
        <v>17</v>
      </c>
      <c r="H405">
        <v>595000</v>
      </c>
      <c r="I405">
        <v>475000</v>
      </c>
      <c r="J405">
        <v>360</v>
      </c>
      <c r="K405" t="str">
        <f t="shared" si="30"/>
        <v>40-50</v>
      </c>
      <c r="L405" s="13">
        <f t="shared" si="31"/>
        <v>79.831932773109244</v>
      </c>
      <c r="M405" t="str">
        <f t="shared" si="32"/>
        <v>not selected</v>
      </c>
      <c r="N405" t="str">
        <f t="shared" si="33"/>
        <v>selected</v>
      </c>
      <c r="O405">
        <v>79.831932773109244</v>
      </c>
      <c r="P405">
        <v>34</v>
      </c>
      <c r="Q405">
        <v>360</v>
      </c>
      <c r="R405">
        <v>1</v>
      </c>
      <c r="S405">
        <v>5.0191715965592332</v>
      </c>
      <c r="T405" t="str">
        <f t="shared" si="34"/>
        <v>Less than 80%</v>
      </c>
      <c r="U405">
        <v>79.831932773109244</v>
      </c>
      <c r="V405">
        <v>34</v>
      </c>
      <c r="W405">
        <v>1</v>
      </c>
    </row>
    <row r="406" spans="1:23">
      <c r="A406">
        <v>399</v>
      </c>
      <c r="B406">
        <v>6</v>
      </c>
      <c r="C406">
        <v>94.36</v>
      </c>
      <c r="D406">
        <v>87800</v>
      </c>
      <c r="E406">
        <v>170000</v>
      </c>
      <c r="F406">
        <v>0</v>
      </c>
      <c r="G406" t="s">
        <v>17</v>
      </c>
      <c r="H406">
        <v>365000</v>
      </c>
      <c r="I406">
        <v>225000</v>
      </c>
      <c r="J406">
        <v>360</v>
      </c>
      <c r="K406" t="str">
        <f t="shared" si="30"/>
        <v>More than 50</v>
      </c>
      <c r="L406" s="13">
        <f t="shared" si="31"/>
        <v>61.643835616438359</v>
      </c>
      <c r="M406" t="str">
        <f t="shared" si="32"/>
        <v>not selected</v>
      </c>
      <c r="N406" t="str">
        <f t="shared" si="33"/>
        <v>not selected</v>
      </c>
      <c r="O406">
        <v>61.643835616438359</v>
      </c>
      <c r="P406">
        <v>41</v>
      </c>
      <c r="Q406">
        <v>360</v>
      </c>
      <c r="R406">
        <v>0</v>
      </c>
      <c r="S406">
        <v>3.8939960683234238</v>
      </c>
      <c r="T406" t="str">
        <f t="shared" si="34"/>
        <v>Less than 80%</v>
      </c>
      <c r="U406">
        <v>61.643835616438359</v>
      </c>
      <c r="V406">
        <v>41</v>
      </c>
      <c r="W406">
        <v>0</v>
      </c>
    </row>
    <row r="407" spans="1:23">
      <c r="A407">
        <v>400</v>
      </c>
      <c r="B407">
        <v>47</v>
      </c>
      <c r="C407">
        <v>11.36</v>
      </c>
      <c r="D407">
        <v>70800</v>
      </c>
      <c r="E407">
        <v>78000</v>
      </c>
      <c r="F407">
        <v>0</v>
      </c>
      <c r="G407" t="s">
        <v>17</v>
      </c>
      <c r="H407">
        <v>255000</v>
      </c>
      <c r="I407">
        <v>165000</v>
      </c>
      <c r="J407">
        <v>240</v>
      </c>
      <c r="K407" t="str">
        <f t="shared" si="30"/>
        <v>10-20</v>
      </c>
      <c r="L407" s="13">
        <f t="shared" si="31"/>
        <v>64.705882352941174</v>
      </c>
      <c r="M407" t="str">
        <f t="shared" si="32"/>
        <v>not selected</v>
      </c>
      <c r="N407" t="str">
        <f t="shared" si="33"/>
        <v>not selected</v>
      </c>
      <c r="O407">
        <v>64.705882352941174</v>
      </c>
      <c r="P407">
        <v>19</v>
      </c>
      <c r="Q407">
        <v>240</v>
      </c>
      <c r="R407">
        <v>0</v>
      </c>
      <c r="S407">
        <v>3.3851393395728797</v>
      </c>
      <c r="T407" t="str">
        <f t="shared" si="34"/>
        <v>Less than 80%</v>
      </c>
      <c r="U407">
        <v>64.705882352941174</v>
      </c>
      <c r="V407">
        <v>19</v>
      </c>
      <c r="W407">
        <v>0</v>
      </c>
    </row>
    <row r="408" spans="1:23">
      <c r="A408">
        <v>401</v>
      </c>
      <c r="B408">
        <v>45</v>
      </c>
      <c r="C408">
        <v>21.73</v>
      </c>
      <c r="D408">
        <v>71400</v>
      </c>
      <c r="E408">
        <v>75000</v>
      </c>
      <c r="F408">
        <v>0</v>
      </c>
      <c r="G408" t="s">
        <v>17</v>
      </c>
      <c r="H408">
        <v>345000</v>
      </c>
      <c r="I408">
        <v>265000</v>
      </c>
      <c r="J408">
        <v>240</v>
      </c>
      <c r="K408" t="str">
        <f t="shared" si="30"/>
        <v>20-30</v>
      </c>
      <c r="L408" s="13">
        <f t="shared" si="31"/>
        <v>76.811594202898547</v>
      </c>
      <c r="M408" t="str">
        <f t="shared" si="32"/>
        <v>not selected</v>
      </c>
      <c r="N408" t="str">
        <f t="shared" si="33"/>
        <v>not selected</v>
      </c>
      <c r="O408">
        <v>76.811594202898547</v>
      </c>
      <c r="P408">
        <v>15</v>
      </c>
      <c r="Q408">
        <v>240</v>
      </c>
      <c r="R408">
        <v>0</v>
      </c>
      <c r="S408">
        <v>5.0812750545167109</v>
      </c>
      <c r="T408" t="str">
        <f t="shared" si="34"/>
        <v>Less than 80%</v>
      </c>
      <c r="U408">
        <v>76.811594202898547</v>
      </c>
      <c r="V408">
        <v>15</v>
      </c>
      <c r="W408">
        <v>0</v>
      </c>
    </row>
    <row r="409" spans="1:23">
      <c r="A409">
        <v>402</v>
      </c>
      <c r="B409">
        <v>39</v>
      </c>
      <c r="C409">
        <v>4.3600000000000003</v>
      </c>
      <c r="D409">
        <v>84600</v>
      </c>
      <c r="E409">
        <v>172000</v>
      </c>
      <c r="F409">
        <v>0</v>
      </c>
      <c r="G409" t="s">
        <v>17</v>
      </c>
      <c r="H409">
        <v>945000</v>
      </c>
      <c r="I409">
        <v>405000</v>
      </c>
      <c r="J409">
        <v>180</v>
      </c>
      <c r="K409" t="str">
        <f t="shared" si="30"/>
        <v>0-10</v>
      </c>
      <c r="L409" s="13">
        <f t="shared" si="31"/>
        <v>42.857142857142854</v>
      </c>
      <c r="M409" t="str">
        <f t="shared" si="32"/>
        <v>selected</v>
      </c>
      <c r="N409" t="str">
        <f t="shared" si="33"/>
        <v>not selected</v>
      </c>
      <c r="O409">
        <v>42.857142857142854</v>
      </c>
      <c r="P409">
        <v>22</v>
      </c>
      <c r="Q409">
        <v>180</v>
      </c>
      <c r="R409">
        <v>0</v>
      </c>
      <c r="S409">
        <v>3.6507364888419471</v>
      </c>
      <c r="T409" t="str">
        <f t="shared" si="34"/>
        <v>Less than 80%</v>
      </c>
      <c r="U409">
        <v>42.857142857142854</v>
      </c>
      <c r="V409">
        <v>22</v>
      </c>
      <c r="W409">
        <v>0</v>
      </c>
    </row>
    <row r="410" spans="1:23">
      <c r="A410">
        <v>403</v>
      </c>
      <c r="B410">
        <v>42</v>
      </c>
      <c r="C410">
        <v>9.2799999999999994</v>
      </c>
      <c r="D410">
        <v>82300</v>
      </c>
      <c r="E410">
        <v>190000</v>
      </c>
      <c r="F410">
        <v>1</v>
      </c>
      <c r="G410" t="s">
        <v>17</v>
      </c>
      <c r="H410">
        <v>345000</v>
      </c>
      <c r="I410">
        <v>305000</v>
      </c>
      <c r="J410">
        <v>360</v>
      </c>
      <c r="K410" t="str">
        <f t="shared" si="30"/>
        <v>0-10</v>
      </c>
      <c r="L410" s="13">
        <f t="shared" si="31"/>
        <v>88.405797101449281</v>
      </c>
      <c r="M410" t="str">
        <f t="shared" si="32"/>
        <v>not selected</v>
      </c>
      <c r="N410" t="str">
        <f t="shared" si="33"/>
        <v>not selected</v>
      </c>
      <c r="O410">
        <v>88.405797101449281</v>
      </c>
      <c r="P410">
        <v>28</v>
      </c>
      <c r="Q410">
        <v>360</v>
      </c>
      <c r="R410">
        <v>1</v>
      </c>
      <c r="S410">
        <v>5.4565104248712109</v>
      </c>
      <c r="T410" t="str">
        <f t="shared" si="34"/>
        <v>More than 80%</v>
      </c>
      <c r="U410">
        <v>88.405797101449281</v>
      </c>
      <c r="V410">
        <v>28</v>
      </c>
      <c r="W410">
        <v>1</v>
      </c>
    </row>
    <row r="411" spans="1:23">
      <c r="A411">
        <v>404</v>
      </c>
      <c r="B411">
        <v>25</v>
      </c>
      <c r="C411">
        <v>4.87</v>
      </c>
      <c r="D411">
        <v>114000</v>
      </c>
      <c r="E411">
        <v>90000</v>
      </c>
      <c r="F411">
        <v>0</v>
      </c>
      <c r="G411" t="s">
        <v>17</v>
      </c>
      <c r="H411">
        <v>295000</v>
      </c>
      <c r="I411">
        <v>235000</v>
      </c>
      <c r="J411">
        <v>240</v>
      </c>
      <c r="K411" t="str">
        <f t="shared" si="30"/>
        <v>0-10</v>
      </c>
      <c r="L411" s="13">
        <f t="shared" si="31"/>
        <v>79.66101694915254</v>
      </c>
      <c r="M411" t="str">
        <f t="shared" si="32"/>
        <v>not selected</v>
      </c>
      <c r="N411" t="str">
        <f t="shared" si="33"/>
        <v>not selected</v>
      </c>
      <c r="O411">
        <v>79.66101694915254</v>
      </c>
      <c r="P411">
        <v>36</v>
      </c>
      <c r="Q411">
        <v>240</v>
      </c>
      <c r="R411">
        <v>0</v>
      </c>
      <c r="S411">
        <v>5.5295333630756307</v>
      </c>
      <c r="T411" t="str">
        <f t="shared" si="34"/>
        <v>Less than 80%</v>
      </c>
      <c r="U411">
        <v>79.66101694915254</v>
      </c>
      <c r="V411">
        <v>36</v>
      </c>
      <c r="W411">
        <v>0</v>
      </c>
    </row>
    <row r="412" spans="1:23">
      <c r="A412">
        <v>405</v>
      </c>
      <c r="B412">
        <v>24</v>
      </c>
      <c r="C412">
        <v>18.649999999999999</v>
      </c>
      <c r="D412">
        <v>85900</v>
      </c>
      <c r="E412">
        <v>86000</v>
      </c>
      <c r="F412">
        <v>0</v>
      </c>
      <c r="G412" t="s">
        <v>17</v>
      </c>
      <c r="H412">
        <v>395000</v>
      </c>
      <c r="I412">
        <v>185000</v>
      </c>
      <c r="J412">
        <v>360</v>
      </c>
      <c r="K412" t="str">
        <f t="shared" si="30"/>
        <v>10-20</v>
      </c>
      <c r="L412" s="13">
        <f t="shared" si="31"/>
        <v>46.835443037974684</v>
      </c>
      <c r="M412" t="str">
        <f t="shared" si="32"/>
        <v>not selected</v>
      </c>
      <c r="N412" t="str">
        <f t="shared" si="33"/>
        <v>not selected</v>
      </c>
      <c r="O412">
        <v>46.835443037974684</v>
      </c>
      <c r="P412">
        <v>56</v>
      </c>
      <c r="Q412">
        <v>360</v>
      </c>
      <c r="R412">
        <v>0</v>
      </c>
      <c r="S412">
        <v>3.9575181844820406</v>
      </c>
      <c r="T412" t="str">
        <f t="shared" si="34"/>
        <v>Less than 80%</v>
      </c>
      <c r="U412">
        <v>46.835443037974684</v>
      </c>
      <c r="V412">
        <v>56</v>
      </c>
      <c r="W412">
        <v>0</v>
      </c>
    </row>
    <row r="413" spans="1:23">
      <c r="A413">
        <v>406</v>
      </c>
      <c r="B413">
        <v>10</v>
      </c>
      <c r="C413">
        <v>13.02</v>
      </c>
      <c r="D413">
        <v>96600</v>
      </c>
      <c r="E413">
        <v>123000</v>
      </c>
      <c r="F413">
        <v>0</v>
      </c>
      <c r="G413" t="s">
        <v>17</v>
      </c>
      <c r="H413">
        <v>365000</v>
      </c>
      <c r="I413">
        <v>265000</v>
      </c>
      <c r="J413">
        <v>240</v>
      </c>
      <c r="K413" t="str">
        <f t="shared" si="30"/>
        <v>10-20</v>
      </c>
      <c r="L413" s="13">
        <f t="shared" si="31"/>
        <v>72.602739726027394</v>
      </c>
      <c r="M413" t="str">
        <f t="shared" si="32"/>
        <v>not selected</v>
      </c>
      <c r="N413" t="str">
        <f t="shared" si="33"/>
        <v>not selected</v>
      </c>
      <c r="O413">
        <v>72.602739726027394</v>
      </c>
      <c r="P413">
        <v>25</v>
      </c>
      <c r="Q413">
        <v>240</v>
      </c>
      <c r="R413">
        <v>0</v>
      </c>
      <c r="S413">
        <v>4.7129181331202465</v>
      </c>
      <c r="T413" t="str">
        <f t="shared" si="34"/>
        <v>Less than 80%</v>
      </c>
      <c r="U413">
        <v>72.602739726027394</v>
      </c>
      <c r="V413">
        <v>25</v>
      </c>
      <c r="W413">
        <v>0</v>
      </c>
    </row>
    <row r="414" spans="1:23">
      <c r="A414">
        <v>407</v>
      </c>
      <c r="B414">
        <v>4</v>
      </c>
      <c r="C414">
        <v>10.3</v>
      </c>
      <c r="D414">
        <v>77800</v>
      </c>
      <c r="E414">
        <v>107000</v>
      </c>
      <c r="F414">
        <v>0</v>
      </c>
      <c r="G414" t="s">
        <v>17</v>
      </c>
      <c r="H414">
        <v>425000</v>
      </c>
      <c r="I414">
        <v>255000</v>
      </c>
      <c r="J414">
        <v>360</v>
      </c>
      <c r="K414" t="str">
        <f t="shared" si="30"/>
        <v>10-20</v>
      </c>
      <c r="L414" s="13">
        <f t="shared" si="31"/>
        <v>60</v>
      </c>
      <c r="M414" t="str">
        <f t="shared" si="32"/>
        <v>not selected</v>
      </c>
      <c r="N414" t="str">
        <f t="shared" si="33"/>
        <v>not selected</v>
      </c>
      <c r="O414">
        <v>60</v>
      </c>
      <c r="P414">
        <v>37</v>
      </c>
      <c r="Q414">
        <v>360</v>
      </c>
      <c r="R414">
        <v>0</v>
      </c>
      <c r="S414">
        <v>5.4423589974900679</v>
      </c>
      <c r="T414" t="str">
        <f t="shared" si="34"/>
        <v>Less than 80%</v>
      </c>
      <c r="U414">
        <v>60</v>
      </c>
      <c r="V414">
        <v>37</v>
      </c>
      <c r="W414">
        <v>0</v>
      </c>
    </row>
    <row r="415" spans="1:23">
      <c r="A415">
        <v>408</v>
      </c>
      <c r="B415">
        <v>34</v>
      </c>
      <c r="C415">
        <v>29.35</v>
      </c>
      <c r="D415">
        <v>96500</v>
      </c>
      <c r="E415">
        <v>60000</v>
      </c>
      <c r="F415">
        <v>0</v>
      </c>
      <c r="G415" t="s">
        <v>17</v>
      </c>
      <c r="H415">
        <v>345000</v>
      </c>
      <c r="I415">
        <v>275000</v>
      </c>
      <c r="J415">
        <v>360</v>
      </c>
      <c r="K415" t="str">
        <f t="shared" si="30"/>
        <v>20-30</v>
      </c>
      <c r="L415" s="13">
        <f t="shared" si="31"/>
        <v>79.710144927536234</v>
      </c>
      <c r="M415" t="str">
        <f t="shared" si="32"/>
        <v>not selected</v>
      </c>
      <c r="N415" t="str">
        <f t="shared" si="33"/>
        <v>not selected</v>
      </c>
      <c r="O415">
        <v>79.710144927536234</v>
      </c>
      <c r="P415">
        <v>32</v>
      </c>
      <c r="Q415">
        <v>360</v>
      </c>
      <c r="R415">
        <v>0</v>
      </c>
      <c r="S415">
        <v>5.2321618089135651</v>
      </c>
      <c r="T415" t="str">
        <f t="shared" si="34"/>
        <v>Less than 80%</v>
      </c>
      <c r="U415">
        <v>79.710144927536234</v>
      </c>
      <c r="V415">
        <v>32</v>
      </c>
      <c r="W415">
        <v>0</v>
      </c>
    </row>
    <row r="416" spans="1:23">
      <c r="A416">
        <v>409</v>
      </c>
      <c r="B416">
        <v>6</v>
      </c>
      <c r="C416">
        <v>78.14</v>
      </c>
      <c r="D416">
        <v>86700</v>
      </c>
      <c r="E416">
        <v>62000</v>
      </c>
      <c r="F416">
        <v>0</v>
      </c>
      <c r="G416" t="s">
        <v>17</v>
      </c>
      <c r="H416">
        <v>255000</v>
      </c>
      <c r="I416">
        <v>155000</v>
      </c>
      <c r="J416">
        <v>360</v>
      </c>
      <c r="K416" t="str">
        <f t="shared" si="30"/>
        <v>More than 50</v>
      </c>
      <c r="L416" s="13">
        <f t="shared" si="31"/>
        <v>60.784313725490193</v>
      </c>
      <c r="M416" t="str">
        <f t="shared" si="32"/>
        <v>not selected</v>
      </c>
      <c r="N416" t="str">
        <f t="shared" si="33"/>
        <v>not selected</v>
      </c>
      <c r="O416">
        <v>60.784313725490193</v>
      </c>
      <c r="P416">
        <v>55</v>
      </c>
      <c r="Q416">
        <v>360</v>
      </c>
      <c r="R416">
        <v>0</v>
      </c>
      <c r="S416">
        <v>4.4406063937787401</v>
      </c>
      <c r="T416" t="str">
        <f t="shared" si="34"/>
        <v>Less than 80%</v>
      </c>
      <c r="U416">
        <v>60.784313725490193</v>
      </c>
      <c r="V416">
        <v>55</v>
      </c>
      <c r="W416">
        <v>0</v>
      </c>
    </row>
    <row r="417" spans="1:23">
      <c r="A417">
        <v>410</v>
      </c>
      <c r="B417">
        <v>6</v>
      </c>
      <c r="C417">
        <v>78.349999999999994</v>
      </c>
      <c r="D417">
        <v>127900</v>
      </c>
      <c r="E417">
        <v>149000</v>
      </c>
      <c r="F417">
        <v>0</v>
      </c>
      <c r="G417" t="s">
        <v>17</v>
      </c>
      <c r="H417">
        <v>685000</v>
      </c>
      <c r="I417">
        <v>435000</v>
      </c>
      <c r="J417">
        <v>360</v>
      </c>
      <c r="K417" t="str">
        <f t="shared" si="30"/>
        <v>More than 50</v>
      </c>
      <c r="L417" s="13">
        <f t="shared" si="31"/>
        <v>63.503649635036496</v>
      </c>
      <c r="M417" t="str">
        <f t="shared" si="32"/>
        <v>not selected</v>
      </c>
      <c r="N417" t="str">
        <f t="shared" si="33"/>
        <v>not selected</v>
      </c>
      <c r="O417">
        <v>63.503649635036496</v>
      </c>
      <c r="P417">
        <v>27</v>
      </c>
      <c r="Q417">
        <v>360</v>
      </c>
      <c r="R417">
        <v>0</v>
      </c>
      <c r="S417">
        <v>5.4606479302586113</v>
      </c>
      <c r="T417" t="str">
        <f t="shared" si="34"/>
        <v>Less than 80%</v>
      </c>
      <c r="U417">
        <v>63.503649635036496</v>
      </c>
      <c r="V417">
        <v>27</v>
      </c>
      <c r="W417">
        <v>0</v>
      </c>
    </row>
    <row r="418" spans="1:23">
      <c r="A418">
        <v>411</v>
      </c>
      <c r="B418">
        <v>6</v>
      </c>
      <c r="C418">
        <v>63.85</v>
      </c>
      <c r="D418">
        <v>83300</v>
      </c>
      <c r="E418">
        <v>126000</v>
      </c>
      <c r="F418">
        <v>1</v>
      </c>
      <c r="G418" t="s">
        <v>17</v>
      </c>
      <c r="H418">
        <v>1265000</v>
      </c>
      <c r="I418">
        <v>655000</v>
      </c>
      <c r="J418">
        <v>360</v>
      </c>
      <c r="K418" t="str">
        <f t="shared" si="30"/>
        <v>More than 50</v>
      </c>
      <c r="L418" s="13">
        <f t="shared" si="31"/>
        <v>51.778656126482211</v>
      </c>
      <c r="M418" t="str">
        <f t="shared" si="32"/>
        <v>not selected</v>
      </c>
      <c r="N418" t="str">
        <f t="shared" si="33"/>
        <v>not selected</v>
      </c>
      <c r="O418">
        <v>51.778656126482211</v>
      </c>
      <c r="P418">
        <v>45</v>
      </c>
      <c r="Q418">
        <v>360</v>
      </c>
      <c r="R418">
        <v>1</v>
      </c>
      <c r="S418">
        <v>5.0049663547916721</v>
      </c>
      <c r="T418" t="str">
        <f t="shared" si="34"/>
        <v>Less than 80%</v>
      </c>
      <c r="U418">
        <v>51.778656126482211</v>
      </c>
      <c r="V418">
        <v>45</v>
      </c>
      <c r="W418">
        <v>1</v>
      </c>
    </row>
    <row r="419" spans="1:23">
      <c r="A419">
        <v>412</v>
      </c>
      <c r="B419">
        <v>24</v>
      </c>
      <c r="C419">
        <v>30.11</v>
      </c>
      <c r="D419">
        <v>104000</v>
      </c>
      <c r="E419">
        <v>90000</v>
      </c>
      <c r="F419">
        <v>0</v>
      </c>
      <c r="G419" t="s">
        <v>17</v>
      </c>
      <c r="H419">
        <v>255000</v>
      </c>
      <c r="I419">
        <v>225000</v>
      </c>
      <c r="J419">
        <v>360</v>
      </c>
      <c r="K419" t="str">
        <f t="shared" si="30"/>
        <v>30-40</v>
      </c>
      <c r="L419" s="13">
        <f t="shared" si="31"/>
        <v>88.235294117647058</v>
      </c>
      <c r="M419" t="str">
        <f t="shared" si="32"/>
        <v>not selected</v>
      </c>
      <c r="N419" t="str">
        <f t="shared" si="33"/>
        <v>not selected</v>
      </c>
      <c r="O419">
        <v>88.235294117647058</v>
      </c>
      <c r="P419">
        <v>48</v>
      </c>
      <c r="Q419">
        <v>360</v>
      </c>
      <c r="R419">
        <v>0</v>
      </c>
      <c r="S419">
        <v>5.6700611388094959</v>
      </c>
      <c r="T419" t="str">
        <f t="shared" si="34"/>
        <v>More than 80%</v>
      </c>
      <c r="U419">
        <v>88.235294117647058</v>
      </c>
      <c r="V419">
        <v>48</v>
      </c>
      <c r="W419">
        <v>0</v>
      </c>
    </row>
    <row r="420" spans="1:23">
      <c r="A420">
        <v>413</v>
      </c>
      <c r="B420">
        <v>12</v>
      </c>
      <c r="C420">
        <v>40.44</v>
      </c>
      <c r="D420">
        <v>68100</v>
      </c>
      <c r="E420">
        <v>96000</v>
      </c>
      <c r="F420">
        <v>0</v>
      </c>
      <c r="G420" t="s">
        <v>17</v>
      </c>
      <c r="H420">
        <v>385000</v>
      </c>
      <c r="I420">
        <v>275000</v>
      </c>
      <c r="J420">
        <v>360</v>
      </c>
      <c r="K420" t="str">
        <f t="shared" si="30"/>
        <v>40-50</v>
      </c>
      <c r="L420" s="13">
        <f t="shared" si="31"/>
        <v>71.428571428571431</v>
      </c>
      <c r="M420" t="str">
        <f t="shared" si="32"/>
        <v>not selected</v>
      </c>
      <c r="N420" t="str">
        <f t="shared" si="33"/>
        <v>not selected</v>
      </c>
      <c r="O420">
        <v>71.428571428571431</v>
      </c>
      <c r="P420">
        <v>10</v>
      </c>
      <c r="Q420">
        <v>360</v>
      </c>
      <c r="R420">
        <v>0</v>
      </c>
      <c r="S420">
        <v>4.9769561958097501</v>
      </c>
      <c r="T420" t="str">
        <f t="shared" si="34"/>
        <v>Less than 80%</v>
      </c>
      <c r="U420">
        <v>71.428571428571431</v>
      </c>
      <c r="V420">
        <v>10</v>
      </c>
      <c r="W420">
        <v>0</v>
      </c>
    </row>
    <row r="421" spans="1:23">
      <c r="A421">
        <v>414</v>
      </c>
      <c r="B421">
        <v>17</v>
      </c>
      <c r="C421">
        <v>52.91</v>
      </c>
      <c r="D421">
        <v>89100</v>
      </c>
      <c r="E421">
        <v>134000</v>
      </c>
      <c r="F421">
        <v>0</v>
      </c>
      <c r="G421" t="s">
        <v>17</v>
      </c>
      <c r="H421">
        <v>285000</v>
      </c>
      <c r="I421">
        <v>195000</v>
      </c>
      <c r="J421">
        <v>360</v>
      </c>
      <c r="K421" t="str">
        <f t="shared" si="30"/>
        <v>More than 50</v>
      </c>
      <c r="L421" s="13">
        <f t="shared" si="31"/>
        <v>68.421052631578945</v>
      </c>
      <c r="M421" t="str">
        <f t="shared" si="32"/>
        <v>not selected</v>
      </c>
      <c r="N421" t="str">
        <f t="shared" si="33"/>
        <v>not selected</v>
      </c>
      <c r="O421">
        <v>68.421052631578945</v>
      </c>
      <c r="P421">
        <v>17</v>
      </c>
      <c r="Q421">
        <v>360</v>
      </c>
      <c r="R421">
        <v>0</v>
      </c>
      <c r="S421">
        <v>5.2072667401672366</v>
      </c>
      <c r="T421" t="str">
        <f t="shared" si="34"/>
        <v>Less than 80%</v>
      </c>
      <c r="U421">
        <v>68.421052631578945</v>
      </c>
      <c r="V421">
        <v>17</v>
      </c>
      <c r="W421">
        <v>0</v>
      </c>
    </row>
    <row r="422" spans="1:23">
      <c r="A422">
        <v>415</v>
      </c>
      <c r="B422">
        <v>18</v>
      </c>
      <c r="C422">
        <v>7.09</v>
      </c>
      <c r="D422">
        <v>89100</v>
      </c>
      <c r="E422">
        <v>64000</v>
      </c>
      <c r="F422">
        <v>1</v>
      </c>
      <c r="G422" t="s">
        <v>17</v>
      </c>
      <c r="H422">
        <v>165000</v>
      </c>
      <c r="I422">
        <v>105000</v>
      </c>
      <c r="J422">
        <v>360</v>
      </c>
      <c r="K422" t="str">
        <f t="shared" si="30"/>
        <v>0-10</v>
      </c>
      <c r="L422" s="13">
        <f t="shared" si="31"/>
        <v>63.636363636363633</v>
      </c>
      <c r="M422" t="str">
        <f t="shared" si="32"/>
        <v>not selected</v>
      </c>
      <c r="N422" t="str">
        <f t="shared" si="33"/>
        <v>not selected</v>
      </c>
      <c r="O422">
        <v>63.636363636363633</v>
      </c>
      <c r="P422">
        <v>29</v>
      </c>
      <c r="Q422">
        <v>360</v>
      </c>
      <c r="R422">
        <v>1</v>
      </c>
      <c r="S422">
        <v>4.0187280406889654</v>
      </c>
      <c r="T422" t="str">
        <f t="shared" si="34"/>
        <v>Less than 80%</v>
      </c>
      <c r="U422">
        <v>63.636363636363633</v>
      </c>
      <c r="V422">
        <v>29</v>
      </c>
      <c r="W422">
        <v>1</v>
      </c>
    </row>
    <row r="423" spans="1:23">
      <c r="A423">
        <v>416</v>
      </c>
      <c r="B423">
        <v>8</v>
      </c>
      <c r="C423">
        <v>8.6999999999999993</v>
      </c>
      <c r="D423">
        <v>100000</v>
      </c>
      <c r="E423">
        <v>194000</v>
      </c>
      <c r="F423">
        <v>0</v>
      </c>
      <c r="G423" t="s">
        <v>17</v>
      </c>
      <c r="H423">
        <v>745000</v>
      </c>
      <c r="I423">
        <v>575000</v>
      </c>
      <c r="J423">
        <v>360</v>
      </c>
      <c r="K423" t="str">
        <f t="shared" si="30"/>
        <v>0-10</v>
      </c>
      <c r="L423" s="13">
        <f t="shared" si="31"/>
        <v>77.181208053691279</v>
      </c>
      <c r="M423" t="str">
        <f t="shared" si="32"/>
        <v>not selected</v>
      </c>
      <c r="N423" t="str">
        <f t="shared" si="33"/>
        <v>not selected</v>
      </c>
      <c r="O423">
        <v>77.181208053691279</v>
      </c>
      <c r="P423">
        <v>39</v>
      </c>
      <c r="Q423">
        <v>360</v>
      </c>
      <c r="R423">
        <v>0</v>
      </c>
      <c r="S423">
        <v>5.0567308636121266</v>
      </c>
      <c r="T423" t="str">
        <f t="shared" si="34"/>
        <v>Less than 80%</v>
      </c>
      <c r="U423">
        <v>77.181208053691279</v>
      </c>
      <c r="V423">
        <v>39</v>
      </c>
      <c r="W423">
        <v>0</v>
      </c>
    </row>
    <row r="424" spans="1:23">
      <c r="A424">
        <v>417</v>
      </c>
      <c r="B424">
        <v>13</v>
      </c>
      <c r="C424">
        <v>7.02</v>
      </c>
      <c r="D424">
        <v>82200</v>
      </c>
      <c r="E424">
        <v>137000</v>
      </c>
      <c r="F424">
        <v>0</v>
      </c>
      <c r="G424" t="s">
        <v>17</v>
      </c>
      <c r="H424">
        <v>545000</v>
      </c>
      <c r="I424">
        <v>405000</v>
      </c>
      <c r="J424">
        <v>360</v>
      </c>
      <c r="K424" t="str">
        <f t="shared" si="30"/>
        <v>0-10</v>
      </c>
      <c r="L424" s="13">
        <f t="shared" si="31"/>
        <v>74.311926605504581</v>
      </c>
      <c r="M424" t="str">
        <f t="shared" si="32"/>
        <v>not selected</v>
      </c>
      <c r="N424" t="str">
        <f t="shared" si="33"/>
        <v>not selected</v>
      </c>
      <c r="O424">
        <v>74.311926605504581</v>
      </c>
      <c r="P424">
        <v>29</v>
      </c>
      <c r="Q424">
        <v>360</v>
      </c>
      <c r="R424">
        <v>0</v>
      </c>
      <c r="S424">
        <v>5.5523318497818401</v>
      </c>
      <c r="T424" t="str">
        <f t="shared" si="34"/>
        <v>Less than 80%</v>
      </c>
      <c r="U424">
        <v>74.311926605504581</v>
      </c>
      <c r="V424">
        <v>29</v>
      </c>
      <c r="W424">
        <v>0</v>
      </c>
    </row>
    <row r="425" spans="1:23">
      <c r="A425">
        <v>418</v>
      </c>
      <c r="B425">
        <v>47</v>
      </c>
      <c r="C425">
        <v>16.72</v>
      </c>
      <c r="D425">
        <v>72600</v>
      </c>
      <c r="E425">
        <v>52000</v>
      </c>
      <c r="F425">
        <v>0</v>
      </c>
      <c r="G425" t="s">
        <v>17</v>
      </c>
      <c r="H425">
        <v>115000</v>
      </c>
      <c r="I425">
        <v>95000</v>
      </c>
      <c r="J425">
        <v>360</v>
      </c>
      <c r="K425" t="str">
        <f t="shared" si="30"/>
        <v>10-20</v>
      </c>
      <c r="L425" s="13">
        <f t="shared" si="31"/>
        <v>82.608695652173907</v>
      </c>
      <c r="M425" t="str">
        <f t="shared" si="32"/>
        <v>not selected</v>
      </c>
      <c r="N425" t="str">
        <f t="shared" si="33"/>
        <v>not selected</v>
      </c>
      <c r="O425">
        <v>82.608695652173907</v>
      </c>
      <c r="P425">
        <v>26</v>
      </c>
      <c r="Q425">
        <v>360</v>
      </c>
      <c r="R425">
        <v>0</v>
      </c>
      <c r="S425">
        <v>3.7830268260698587</v>
      </c>
      <c r="T425" t="str">
        <f t="shared" si="34"/>
        <v>More than 80%</v>
      </c>
      <c r="U425">
        <v>82.608695652173907</v>
      </c>
      <c r="V425">
        <v>26</v>
      </c>
      <c r="W425">
        <v>0</v>
      </c>
    </row>
    <row r="426" spans="1:23">
      <c r="A426">
        <v>419</v>
      </c>
      <c r="B426">
        <v>25</v>
      </c>
      <c r="C426">
        <v>42.23</v>
      </c>
      <c r="D426">
        <v>114000</v>
      </c>
      <c r="E426">
        <v>57000</v>
      </c>
      <c r="F426">
        <v>0</v>
      </c>
      <c r="G426" t="s">
        <v>17</v>
      </c>
      <c r="H426">
        <v>445000</v>
      </c>
      <c r="I426">
        <v>335000</v>
      </c>
      <c r="J426">
        <v>360</v>
      </c>
      <c r="K426" t="str">
        <f t="shared" si="30"/>
        <v>40-50</v>
      </c>
      <c r="L426" s="13">
        <f t="shared" si="31"/>
        <v>75.280898876404493</v>
      </c>
      <c r="M426" t="str">
        <f t="shared" si="32"/>
        <v>not selected</v>
      </c>
      <c r="N426" t="str">
        <f t="shared" si="33"/>
        <v>not selected</v>
      </c>
      <c r="O426">
        <v>75.280898876404493</v>
      </c>
      <c r="P426">
        <v>32</v>
      </c>
      <c r="Q426">
        <v>360</v>
      </c>
      <c r="R426">
        <v>0</v>
      </c>
      <c r="S426">
        <v>5.1140309218871369</v>
      </c>
      <c r="T426" t="str">
        <f t="shared" si="34"/>
        <v>Less than 80%</v>
      </c>
      <c r="U426">
        <v>75.280898876404493</v>
      </c>
      <c r="V426">
        <v>32</v>
      </c>
      <c r="W426">
        <v>0</v>
      </c>
    </row>
    <row r="427" spans="1:23">
      <c r="A427">
        <v>420</v>
      </c>
      <c r="B427">
        <v>12</v>
      </c>
      <c r="C427">
        <v>34.49</v>
      </c>
      <c r="D427">
        <v>76700</v>
      </c>
      <c r="E427">
        <v>79000</v>
      </c>
      <c r="F427">
        <v>1</v>
      </c>
      <c r="G427" t="s">
        <v>17</v>
      </c>
      <c r="H427">
        <v>145000</v>
      </c>
      <c r="I427">
        <v>105000</v>
      </c>
      <c r="J427">
        <v>360</v>
      </c>
      <c r="K427" t="str">
        <f t="shared" si="30"/>
        <v>30-40</v>
      </c>
      <c r="L427" s="13">
        <f t="shared" si="31"/>
        <v>72.41379310344827</v>
      </c>
      <c r="M427" t="str">
        <f t="shared" si="32"/>
        <v>not selected</v>
      </c>
      <c r="N427" t="str">
        <f t="shared" si="33"/>
        <v>not selected</v>
      </c>
      <c r="O427">
        <v>72.41379310344827</v>
      </c>
      <c r="P427">
        <v>15</v>
      </c>
      <c r="Q427">
        <v>360</v>
      </c>
      <c r="R427">
        <v>1</v>
      </c>
      <c r="S427">
        <v>4.6162018343381606</v>
      </c>
      <c r="T427" t="str">
        <f t="shared" si="34"/>
        <v>Less than 80%</v>
      </c>
      <c r="U427">
        <v>72.41379310344827</v>
      </c>
      <c r="V427">
        <v>15</v>
      </c>
      <c r="W427">
        <v>1</v>
      </c>
    </row>
    <row r="428" spans="1:23">
      <c r="A428">
        <v>421</v>
      </c>
      <c r="B428">
        <v>6</v>
      </c>
      <c r="C428">
        <v>74.23</v>
      </c>
      <c r="D428">
        <v>86700</v>
      </c>
      <c r="E428">
        <v>64000</v>
      </c>
      <c r="F428">
        <v>0</v>
      </c>
      <c r="G428" t="s">
        <v>17</v>
      </c>
      <c r="H428">
        <v>635000</v>
      </c>
      <c r="I428">
        <v>305000</v>
      </c>
      <c r="J428">
        <v>360</v>
      </c>
      <c r="K428" t="str">
        <f t="shared" si="30"/>
        <v>More than 50</v>
      </c>
      <c r="L428" s="13">
        <f t="shared" si="31"/>
        <v>48.031496062992126</v>
      </c>
      <c r="M428" t="str">
        <f t="shared" si="32"/>
        <v>not selected</v>
      </c>
      <c r="N428" t="str">
        <f t="shared" si="33"/>
        <v>not selected</v>
      </c>
      <c r="O428">
        <v>48.031496062992126</v>
      </c>
      <c r="P428">
        <v>39</v>
      </c>
      <c r="Q428">
        <v>360</v>
      </c>
      <c r="R428">
        <v>0</v>
      </c>
      <c r="S428">
        <v>5.1245495350609627</v>
      </c>
      <c r="T428" t="str">
        <f t="shared" si="34"/>
        <v>Less than 80%</v>
      </c>
      <c r="U428">
        <v>48.031496062992126</v>
      </c>
      <c r="V428">
        <v>39</v>
      </c>
      <c r="W428">
        <v>0</v>
      </c>
    </row>
    <row r="429" spans="1:23">
      <c r="A429">
        <v>422</v>
      </c>
      <c r="B429">
        <v>51</v>
      </c>
      <c r="C429">
        <v>17.2</v>
      </c>
      <c r="D429">
        <v>82400</v>
      </c>
      <c r="E429">
        <v>65000</v>
      </c>
      <c r="F429">
        <v>0</v>
      </c>
      <c r="G429" t="s">
        <v>18</v>
      </c>
      <c r="H429">
        <v>255000</v>
      </c>
      <c r="I429">
        <v>205000</v>
      </c>
      <c r="J429">
        <v>360</v>
      </c>
      <c r="K429" t="str">
        <f t="shared" si="30"/>
        <v>10-20</v>
      </c>
      <c r="L429" s="13">
        <f t="shared" si="31"/>
        <v>80.392156862745097</v>
      </c>
      <c r="M429" t="str">
        <f t="shared" si="32"/>
        <v>not selected</v>
      </c>
      <c r="N429" t="str">
        <f t="shared" si="33"/>
        <v>not selected</v>
      </c>
      <c r="O429">
        <v>80.392156862745097</v>
      </c>
      <c r="P429">
        <v>14</v>
      </c>
      <c r="Q429">
        <v>360</v>
      </c>
      <c r="R429">
        <v>0</v>
      </c>
      <c r="S429">
        <v>4.7270556687140441</v>
      </c>
      <c r="T429" t="str">
        <f t="shared" si="34"/>
        <v>More than 80%</v>
      </c>
      <c r="U429">
        <v>80.392156862745097</v>
      </c>
      <c r="V429">
        <v>14</v>
      </c>
      <c r="W429">
        <v>0</v>
      </c>
    </row>
    <row r="430" spans="1:23">
      <c r="A430">
        <v>423</v>
      </c>
      <c r="B430">
        <v>6</v>
      </c>
      <c r="C430">
        <v>43.85</v>
      </c>
      <c r="D430">
        <v>61700</v>
      </c>
      <c r="E430">
        <v>91000</v>
      </c>
      <c r="F430">
        <v>0</v>
      </c>
      <c r="G430" t="s">
        <v>18</v>
      </c>
      <c r="H430">
        <v>335000</v>
      </c>
      <c r="I430">
        <v>265000</v>
      </c>
      <c r="J430">
        <v>360</v>
      </c>
      <c r="K430" t="str">
        <f t="shared" si="30"/>
        <v>40-50</v>
      </c>
      <c r="L430" s="13">
        <f t="shared" si="31"/>
        <v>79.104477611940297</v>
      </c>
      <c r="M430" t="str">
        <f t="shared" si="32"/>
        <v>not selected</v>
      </c>
      <c r="N430" t="str">
        <f t="shared" si="33"/>
        <v>not selected</v>
      </c>
      <c r="O430">
        <v>79.104477611940297</v>
      </c>
      <c r="P430">
        <v>33</v>
      </c>
      <c r="Q430">
        <v>360</v>
      </c>
      <c r="R430">
        <v>0</v>
      </c>
      <c r="S430">
        <v>4.2395517158779583</v>
      </c>
      <c r="T430" t="str">
        <f t="shared" si="34"/>
        <v>Less than 80%</v>
      </c>
      <c r="U430">
        <v>79.104477611940297</v>
      </c>
      <c r="V430">
        <v>33</v>
      </c>
      <c r="W430">
        <v>0</v>
      </c>
    </row>
    <row r="431" spans="1:23">
      <c r="A431">
        <v>424</v>
      </c>
      <c r="B431">
        <v>29</v>
      </c>
      <c r="C431">
        <v>4.18</v>
      </c>
      <c r="D431">
        <v>82600</v>
      </c>
      <c r="E431">
        <v>43000</v>
      </c>
      <c r="F431">
        <v>0</v>
      </c>
      <c r="G431" t="s">
        <v>18</v>
      </c>
      <c r="H431">
        <v>145000</v>
      </c>
      <c r="I431">
        <v>135000</v>
      </c>
      <c r="J431">
        <v>360</v>
      </c>
      <c r="K431" t="str">
        <f t="shared" si="30"/>
        <v>0-10</v>
      </c>
      <c r="L431" s="13">
        <f t="shared" si="31"/>
        <v>93.103448275862064</v>
      </c>
      <c r="M431" t="str">
        <f t="shared" si="32"/>
        <v>not selected</v>
      </c>
      <c r="N431" t="str">
        <f t="shared" si="33"/>
        <v>not selected</v>
      </c>
      <c r="O431">
        <v>93.103448275862064</v>
      </c>
      <c r="P431">
        <v>25</v>
      </c>
      <c r="Q431">
        <v>360</v>
      </c>
      <c r="R431">
        <v>0</v>
      </c>
      <c r="S431">
        <v>5.392238611586798</v>
      </c>
      <c r="T431" t="str">
        <f t="shared" si="34"/>
        <v>More than 80%</v>
      </c>
      <c r="U431">
        <v>93.103448275862064</v>
      </c>
      <c r="V431">
        <v>25</v>
      </c>
      <c r="W431">
        <v>0</v>
      </c>
    </row>
    <row r="432" spans="1:23">
      <c r="A432">
        <v>425</v>
      </c>
      <c r="B432">
        <v>27</v>
      </c>
      <c r="C432">
        <v>20.96</v>
      </c>
      <c r="D432">
        <v>102800</v>
      </c>
      <c r="E432">
        <v>69000</v>
      </c>
      <c r="F432">
        <v>0</v>
      </c>
      <c r="G432" t="s">
        <v>18</v>
      </c>
      <c r="H432">
        <v>205000</v>
      </c>
      <c r="I432">
        <v>65000</v>
      </c>
      <c r="J432">
        <v>180</v>
      </c>
      <c r="K432" t="str">
        <f t="shared" si="30"/>
        <v>20-30</v>
      </c>
      <c r="L432" s="13">
        <f t="shared" si="31"/>
        <v>31.707317073170731</v>
      </c>
      <c r="M432" t="str">
        <f t="shared" si="32"/>
        <v>selected</v>
      </c>
      <c r="N432" t="str">
        <f t="shared" si="33"/>
        <v>not selected</v>
      </c>
      <c r="O432">
        <v>31.707317073170731</v>
      </c>
      <c r="P432">
        <v>20</v>
      </c>
      <c r="Q432">
        <v>180</v>
      </c>
      <c r="R432">
        <v>0</v>
      </c>
      <c r="S432">
        <v>2.9225727806111141</v>
      </c>
      <c r="T432" t="str">
        <f t="shared" si="34"/>
        <v>Less than 80%</v>
      </c>
      <c r="U432">
        <v>31.707317073170731</v>
      </c>
      <c r="V432">
        <v>20</v>
      </c>
      <c r="W432">
        <v>0</v>
      </c>
    </row>
    <row r="433" spans="1:23">
      <c r="A433">
        <v>426</v>
      </c>
      <c r="B433">
        <v>36</v>
      </c>
      <c r="C433">
        <v>5.37</v>
      </c>
      <c r="D433">
        <v>73800</v>
      </c>
      <c r="E433">
        <v>700000</v>
      </c>
      <c r="F433">
        <v>0</v>
      </c>
      <c r="G433" t="s">
        <v>18</v>
      </c>
      <c r="H433">
        <v>555000</v>
      </c>
      <c r="I433">
        <v>495000</v>
      </c>
      <c r="J433">
        <v>360</v>
      </c>
      <c r="K433" t="str">
        <f t="shared" si="30"/>
        <v>0-10</v>
      </c>
      <c r="L433" s="13">
        <f t="shared" si="31"/>
        <v>89.189189189189193</v>
      </c>
      <c r="M433" t="str">
        <f t="shared" si="32"/>
        <v>not selected</v>
      </c>
      <c r="N433" t="str">
        <f t="shared" si="33"/>
        <v>not selected</v>
      </c>
      <c r="O433">
        <v>89.189189189189193</v>
      </c>
      <c r="P433">
        <v>25</v>
      </c>
      <c r="Q433">
        <v>360</v>
      </c>
      <c r="R433">
        <v>0</v>
      </c>
      <c r="S433">
        <v>4.6696326438565459</v>
      </c>
      <c r="T433" t="str">
        <f t="shared" si="34"/>
        <v>More than 80%</v>
      </c>
      <c r="U433">
        <v>89.189189189189193</v>
      </c>
      <c r="V433">
        <v>25</v>
      </c>
      <c r="W433">
        <v>0</v>
      </c>
    </row>
    <row r="434" spans="1:23">
      <c r="A434">
        <v>427</v>
      </c>
      <c r="B434">
        <v>6</v>
      </c>
      <c r="C434">
        <v>25.97</v>
      </c>
      <c r="D434">
        <v>75300</v>
      </c>
      <c r="E434">
        <v>84000</v>
      </c>
      <c r="F434">
        <v>0</v>
      </c>
      <c r="G434" t="s">
        <v>18</v>
      </c>
      <c r="H434">
        <v>575000</v>
      </c>
      <c r="I434">
        <v>255000</v>
      </c>
      <c r="J434">
        <v>180</v>
      </c>
      <c r="K434" t="str">
        <f t="shared" si="30"/>
        <v>20-30</v>
      </c>
      <c r="L434" s="13">
        <f t="shared" si="31"/>
        <v>44.347826086956523</v>
      </c>
      <c r="M434" t="str">
        <f t="shared" si="32"/>
        <v>selected</v>
      </c>
      <c r="N434" t="str">
        <f t="shared" si="33"/>
        <v>not selected</v>
      </c>
      <c r="O434">
        <v>44.347826086956523</v>
      </c>
      <c r="P434">
        <v>11</v>
      </c>
      <c r="Q434">
        <v>180</v>
      </c>
      <c r="R434">
        <v>0</v>
      </c>
      <c r="S434">
        <v>3.2500707458582756</v>
      </c>
      <c r="T434" t="str">
        <f t="shared" si="34"/>
        <v>Less than 80%</v>
      </c>
      <c r="U434">
        <v>44.347826086956523</v>
      </c>
      <c r="V434">
        <v>11</v>
      </c>
      <c r="W434">
        <v>0</v>
      </c>
    </row>
    <row r="435" spans="1:23">
      <c r="A435">
        <v>428</v>
      </c>
      <c r="B435">
        <v>48</v>
      </c>
      <c r="C435">
        <v>35.32</v>
      </c>
      <c r="D435">
        <v>89600</v>
      </c>
      <c r="E435">
        <v>74000</v>
      </c>
      <c r="F435">
        <v>0</v>
      </c>
      <c r="G435" t="s">
        <v>18</v>
      </c>
      <c r="H435">
        <v>315000</v>
      </c>
      <c r="I435">
        <v>245000</v>
      </c>
      <c r="J435">
        <v>240</v>
      </c>
      <c r="K435" t="str">
        <f t="shared" si="30"/>
        <v>30-40</v>
      </c>
      <c r="L435" s="13">
        <f t="shared" si="31"/>
        <v>77.777777777777786</v>
      </c>
      <c r="M435" t="str">
        <f t="shared" si="32"/>
        <v>not selected</v>
      </c>
      <c r="N435" t="str">
        <f t="shared" si="33"/>
        <v>not selected</v>
      </c>
      <c r="O435">
        <v>77.777777777777786</v>
      </c>
      <c r="P435">
        <v>15</v>
      </c>
      <c r="Q435">
        <v>240</v>
      </c>
      <c r="R435">
        <v>0</v>
      </c>
      <c r="S435">
        <v>4.0692530409693841</v>
      </c>
      <c r="T435" t="str">
        <f t="shared" si="34"/>
        <v>Less than 80%</v>
      </c>
      <c r="U435">
        <v>77.777777777777786</v>
      </c>
      <c r="V435">
        <v>15</v>
      </c>
      <c r="W435">
        <v>0</v>
      </c>
    </row>
    <row r="436" spans="1:23">
      <c r="A436">
        <v>429</v>
      </c>
      <c r="B436">
        <v>36</v>
      </c>
      <c r="C436">
        <v>14.72</v>
      </c>
      <c r="D436">
        <v>75500</v>
      </c>
      <c r="E436">
        <v>62000</v>
      </c>
      <c r="F436">
        <v>0</v>
      </c>
      <c r="G436" t="s">
        <v>18</v>
      </c>
      <c r="H436">
        <v>205000</v>
      </c>
      <c r="I436">
        <v>155000</v>
      </c>
      <c r="J436">
        <v>360</v>
      </c>
      <c r="K436" t="str">
        <f t="shared" si="30"/>
        <v>10-20</v>
      </c>
      <c r="L436" s="13">
        <f t="shared" si="31"/>
        <v>75.609756097560975</v>
      </c>
      <c r="M436" t="str">
        <f t="shared" si="32"/>
        <v>not selected</v>
      </c>
      <c r="N436" t="str">
        <f t="shared" si="33"/>
        <v>not selected</v>
      </c>
      <c r="O436">
        <v>75.609756097560975</v>
      </c>
      <c r="P436">
        <v>29</v>
      </c>
      <c r="Q436">
        <v>360</v>
      </c>
      <c r="R436">
        <v>0</v>
      </c>
      <c r="S436">
        <v>5.506468512019473</v>
      </c>
      <c r="T436" t="str">
        <f t="shared" si="34"/>
        <v>Less than 80%</v>
      </c>
      <c r="U436">
        <v>75.609756097560975</v>
      </c>
      <c r="V436">
        <v>29</v>
      </c>
      <c r="W436">
        <v>0</v>
      </c>
    </row>
    <row r="437" spans="1:23">
      <c r="A437">
        <v>430</v>
      </c>
      <c r="B437">
        <v>53</v>
      </c>
      <c r="C437">
        <v>8.85</v>
      </c>
      <c r="D437">
        <v>77600</v>
      </c>
      <c r="E437">
        <v>105000</v>
      </c>
      <c r="F437">
        <v>0</v>
      </c>
      <c r="G437" t="s">
        <v>18</v>
      </c>
      <c r="H437">
        <v>325000</v>
      </c>
      <c r="I437">
        <v>245000</v>
      </c>
      <c r="J437">
        <v>360</v>
      </c>
      <c r="K437" t="str">
        <f t="shared" si="30"/>
        <v>0-10</v>
      </c>
      <c r="L437" s="13">
        <f t="shared" si="31"/>
        <v>75.384615384615387</v>
      </c>
      <c r="M437" t="str">
        <f t="shared" si="32"/>
        <v>not selected</v>
      </c>
      <c r="N437" t="str">
        <f t="shared" si="33"/>
        <v>not selected</v>
      </c>
      <c r="O437">
        <v>75.384615384615387</v>
      </c>
      <c r="P437">
        <v>29</v>
      </c>
      <c r="Q437">
        <v>360</v>
      </c>
      <c r="R437">
        <v>0</v>
      </c>
      <c r="S437">
        <v>4.5757653168402754</v>
      </c>
      <c r="T437" t="str">
        <f t="shared" si="34"/>
        <v>Less than 80%</v>
      </c>
      <c r="U437">
        <v>75.384615384615387</v>
      </c>
      <c r="V437">
        <v>29</v>
      </c>
      <c r="W437">
        <v>0</v>
      </c>
    </row>
    <row r="438" spans="1:23">
      <c r="A438">
        <v>431</v>
      </c>
      <c r="B438">
        <v>51</v>
      </c>
      <c r="C438">
        <v>2.68</v>
      </c>
      <c r="D438">
        <v>60400</v>
      </c>
      <c r="E438">
        <v>95000</v>
      </c>
      <c r="F438">
        <v>0</v>
      </c>
      <c r="G438" t="s">
        <v>18</v>
      </c>
      <c r="H438">
        <v>465000</v>
      </c>
      <c r="I438">
        <v>225000</v>
      </c>
      <c r="J438">
        <v>180</v>
      </c>
      <c r="K438" t="str">
        <f t="shared" si="30"/>
        <v>0-10</v>
      </c>
      <c r="L438" s="13">
        <f t="shared" si="31"/>
        <v>48.387096774193552</v>
      </c>
      <c r="M438" t="str">
        <f t="shared" si="32"/>
        <v>selected</v>
      </c>
      <c r="N438" t="str">
        <f t="shared" si="33"/>
        <v>not selected</v>
      </c>
      <c r="O438">
        <v>48.387096774193552</v>
      </c>
      <c r="P438">
        <v>31</v>
      </c>
      <c r="Q438">
        <v>180</v>
      </c>
      <c r="R438">
        <v>0</v>
      </c>
      <c r="S438">
        <v>5.280135517770761</v>
      </c>
      <c r="T438" t="str">
        <f t="shared" si="34"/>
        <v>Less than 80%</v>
      </c>
      <c r="U438">
        <v>48.387096774193552</v>
      </c>
      <c r="V438">
        <v>31</v>
      </c>
      <c r="W438">
        <v>0</v>
      </c>
    </row>
    <row r="439" spans="1:23">
      <c r="A439">
        <v>432</v>
      </c>
      <c r="B439">
        <v>55</v>
      </c>
      <c r="C439">
        <v>12.65</v>
      </c>
      <c r="D439">
        <v>83800</v>
      </c>
      <c r="E439">
        <v>145000</v>
      </c>
      <c r="F439">
        <v>0</v>
      </c>
      <c r="G439" t="s">
        <v>18</v>
      </c>
      <c r="H439">
        <v>645000</v>
      </c>
      <c r="I439">
        <v>505000</v>
      </c>
      <c r="J439">
        <v>360</v>
      </c>
      <c r="K439" t="str">
        <f t="shared" si="30"/>
        <v>10-20</v>
      </c>
      <c r="L439" s="13">
        <f t="shared" si="31"/>
        <v>78.294573643410843</v>
      </c>
      <c r="M439" t="str">
        <f t="shared" si="32"/>
        <v>not selected</v>
      </c>
      <c r="N439" t="str">
        <f t="shared" si="33"/>
        <v>not selected</v>
      </c>
      <c r="O439">
        <v>78.294573643410843</v>
      </c>
      <c r="P439">
        <v>42</v>
      </c>
      <c r="Q439">
        <v>360</v>
      </c>
      <c r="R439">
        <v>0</v>
      </c>
      <c r="S439">
        <v>5.7140485242584216</v>
      </c>
      <c r="T439" t="str">
        <f t="shared" si="34"/>
        <v>Less than 80%</v>
      </c>
      <c r="U439">
        <v>78.294573643410843</v>
      </c>
      <c r="V439">
        <v>42</v>
      </c>
      <c r="W439">
        <v>0</v>
      </c>
    </row>
    <row r="440" spans="1:23">
      <c r="A440">
        <v>433</v>
      </c>
      <c r="B440">
        <v>6</v>
      </c>
      <c r="C440">
        <v>91.11</v>
      </c>
      <c r="D440">
        <v>86700</v>
      </c>
      <c r="E440">
        <v>58000</v>
      </c>
      <c r="F440">
        <v>1</v>
      </c>
      <c r="G440" t="s">
        <v>18</v>
      </c>
      <c r="H440">
        <v>325000</v>
      </c>
      <c r="I440">
        <v>315000</v>
      </c>
      <c r="J440">
        <v>360</v>
      </c>
      <c r="K440" t="str">
        <f t="shared" si="30"/>
        <v>More than 50</v>
      </c>
      <c r="L440" s="13">
        <f t="shared" si="31"/>
        <v>96.92307692307692</v>
      </c>
      <c r="M440" t="str">
        <f t="shared" si="32"/>
        <v>not selected</v>
      </c>
      <c r="N440" t="str">
        <f t="shared" si="33"/>
        <v>not selected</v>
      </c>
      <c r="O440">
        <v>96.92307692307692</v>
      </c>
      <c r="P440">
        <v>44</v>
      </c>
      <c r="Q440">
        <v>360</v>
      </c>
      <c r="R440">
        <v>1</v>
      </c>
      <c r="S440">
        <v>5.863270832560441</v>
      </c>
      <c r="T440" t="str">
        <f t="shared" si="34"/>
        <v>More than 80%</v>
      </c>
      <c r="U440">
        <v>96.92307692307692</v>
      </c>
      <c r="V440">
        <v>44</v>
      </c>
      <c r="W440">
        <v>1</v>
      </c>
    </row>
    <row r="441" spans="1:23">
      <c r="A441">
        <v>434</v>
      </c>
      <c r="B441">
        <v>47</v>
      </c>
      <c r="C441">
        <v>25.68</v>
      </c>
      <c r="D441">
        <v>80700</v>
      </c>
      <c r="E441">
        <v>84000</v>
      </c>
      <c r="F441">
        <v>0</v>
      </c>
      <c r="G441" t="s">
        <v>18</v>
      </c>
      <c r="H441">
        <v>275000</v>
      </c>
      <c r="I441">
        <v>215000</v>
      </c>
      <c r="J441">
        <v>360</v>
      </c>
      <c r="K441" t="str">
        <f t="shared" si="30"/>
        <v>20-30</v>
      </c>
      <c r="L441" s="13">
        <f t="shared" si="31"/>
        <v>78.181818181818187</v>
      </c>
      <c r="M441" t="str">
        <f t="shared" si="32"/>
        <v>not selected</v>
      </c>
      <c r="N441" t="str">
        <f t="shared" si="33"/>
        <v>not selected</v>
      </c>
      <c r="O441">
        <v>78.181818181818187</v>
      </c>
      <c r="P441">
        <v>44</v>
      </c>
      <c r="Q441">
        <v>360</v>
      </c>
      <c r="R441">
        <v>0</v>
      </c>
      <c r="S441">
        <v>5.279928901279404</v>
      </c>
      <c r="T441" t="str">
        <f t="shared" si="34"/>
        <v>Less than 80%</v>
      </c>
      <c r="U441">
        <v>78.181818181818187</v>
      </c>
      <c r="V441">
        <v>44</v>
      </c>
      <c r="W441">
        <v>0</v>
      </c>
    </row>
    <row r="442" spans="1:23">
      <c r="A442">
        <v>435</v>
      </c>
      <c r="B442">
        <v>39</v>
      </c>
      <c r="C442">
        <v>51.5</v>
      </c>
      <c r="D442">
        <v>85200</v>
      </c>
      <c r="E442">
        <v>101000</v>
      </c>
      <c r="F442">
        <v>0</v>
      </c>
      <c r="G442" t="s">
        <v>18</v>
      </c>
      <c r="H442">
        <v>135000</v>
      </c>
      <c r="I442">
        <v>125000</v>
      </c>
      <c r="J442">
        <v>360</v>
      </c>
      <c r="K442" t="str">
        <f t="shared" si="30"/>
        <v>More than 50</v>
      </c>
      <c r="L442" s="13">
        <f t="shared" si="31"/>
        <v>92.592592592592595</v>
      </c>
      <c r="M442" t="str">
        <f t="shared" si="32"/>
        <v>not selected</v>
      </c>
      <c r="N442" t="str">
        <f t="shared" si="33"/>
        <v>not selected</v>
      </c>
      <c r="O442">
        <v>92.592592592592595</v>
      </c>
      <c r="P442">
        <v>33</v>
      </c>
      <c r="Q442">
        <v>360</v>
      </c>
      <c r="R442">
        <v>0</v>
      </c>
      <c r="S442">
        <v>4.6773943514448408</v>
      </c>
      <c r="T442" t="str">
        <f t="shared" si="34"/>
        <v>More than 80%</v>
      </c>
      <c r="U442">
        <v>92.592592592592595</v>
      </c>
      <c r="V442">
        <v>33</v>
      </c>
      <c r="W442">
        <v>0</v>
      </c>
    </row>
    <row r="443" spans="1:23">
      <c r="A443">
        <v>436</v>
      </c>
      <c r="B443">
        <v>27</v>
      </c>
      <c r="C443">
        <v>10.220000000000001</v>
      </c>
      <c r="D443">
        <v>95600</v>
      </c>
      <c r="E443">
        <v>612000</v>
      </c>
      <c r="F443">
        <v>0</v>
      </c>
      <c r="G443" t="s">
        <v>18</v>
      </c>
      <c r="H443">
        <v>175000</v>
      </c>
      <c r="I443">
        <v>75000</v>
      </c>
      <c r="J443">
        <v>180</v>
      </c>
      <c r="K443" t="str">
        <f t="shared" si="30"/>
        <v>10-20</v>
      </c>
      <c r="L443" s="13">
        <f t="shared" si="31"/>
        <v>42.857142857142854</v>
      </c>
      <c r="M443" t="str">
        <f t="shared" si="32"/>
        <v>selected</v>
      </c>
      <c r="N443" t="str">
        <f t="shared" si="33"/>
        <v>selected</v>
      </c>
      <c r="O443">
        <v>42.857142857142854</v>
      </c>
      <c r="P443">
        <v>28</v>
      </c>
      <c r="Q443">
        <v>180</v>
      </c>
      <c r="R443">
        <v>0</v>
      </c>
      <c r="S443">
        <v>3.484639304569666</v>
      </c>
      <c r="T443" t="str">
        <f t="shared" si="34"/>
        <v>Less than 80%</v>
      </c>
      <c r="U443">
        <v>42.857142857142854</v>
      </c>
      <c r="V443">
        <v>28</v>
      </c>
      <c r="W443">
        <v>0</v>
      </c>
    </row>
    <row r="444" spans="1:23">
      <c r="A444">
        <v>437</v>
      </c>
      <c r="B444">
        <v>12</v>
      </c>
      <c r="C444">
        <v>49.49</v>
      </c>
      <c r="D444">
        <v>68100</v>
      </c>
      <c r="E444">
        <v>111000</v>
      </c>
      <c r="F444">
        <v>1</v>
      </c>
      <c r="G444" t="s">
        <v>18</v>
      </c>
      <c r="H444">
        <v>335000</v>
      </c>
      <c r="I444">
        <v>315000</v>
      </c>
      <c r="J444">
        <v>360</v>
      </c>
      <c r="K444" t="str">
        <f t="shared" si="30"/>
        <v>40-50</v>
      </c>
      <c r="L444" s="13">
        <f t="shared" si="31"/>
        <v>94.029850746268664</v>
      </c>
      <c r="M444" t="str">
        <f t="shared" si="32"/>
        <v>not selected</v>
      </c>
      <c r="N444" t="str">
        <f t="shared" si="33"/>
        <v>not selected</v>
      </c>
      <c r="O444">
        <v>94.029850746268664</v>
      </c>
      <c r="P444">
        <v>56</v>
      </c>
      <c r="Q444">
        <v>360</v>
      </c>
      <c r="R444">
        <v>1</v>
      </c>
      <c r="S444">
        <v>4.6754024267542116</v>
      </c>
      <c r="T444" t="str">
        <f t="shared" si="34"/>
        <v>More than 80%</v>
      </c>
      <c r="U444">
        <v>94.029850746268664</v>
      </c>
      <c r="V444">
        <v>56</v>
      </c>
      <c r="W444">
        <v>1</v>
      </c>
    </row>
    <row r="445" spans="1:23">
      <c r="A445">
        <v>438</v>
      </c>
      <c r="B445">
        <v>39</v>
      </c>
      <c r="C445">
        <v>15.73</v>
      </c>
      <c r="D445">
        <v>71900</v>
      </c>
      <c r="E445">
        <v>48000</v>
      </c>
      <c r="F445">
        <v>0</v>
      </c>
      <c r="G445" t="s">
        <v>18</v>
      </c>
      <c r="H445">
        <v>155000</v>
      </c>
      <c r="I445">
        <v>125000</v>
      </c>
      <c r="J445">
        <v>360</v>
      </c>
      <c r="K445" t="str">
        <f t="shared" si="30"/>
        <v>10-20</v>
      </c>
      <c r="L445" s="13">
        <f t="shared" si="31"/>
        <v>80.645161290322577</v>
      </c>
      <c r="M445" t="str">
        <f t="shared" si="32"/>
        <v>not selected</v>
      </c>
      <c r="N445" t="str">
        <f t="shared" si="33"/>
        <v>not selected</v>
      </c>
      <c r="O445">
        <v>80.645161290322577</v>
      </c>
      <c r="P445">
        <v>28</v>
      </c>
      <c r="Q445">
        <v>360</v>
      </c>
      <c r="R445">
        <v>0</v>
      </c>
      <c r="S445">
        <v>4.1443267503634029</v>
      </c>
      <c r="T445" t="str">
        <f t="shared" si="34"/>
        <v>More than 80%</v>
      </c>
      <c r="U445">
        <v>80.645161290322577</v>
      </c>
      <c r="V445">
        <v>28</v>
      </c>
      <c r="W445">
        <v>0</v>
      </c>
    </row>
    <row r="446" spans="1:23">
      <c r="A446">
        <v>439</v>
      </c>
      <c r="B446">
        <v>12</v>
      </c>
      <c r="C446">
        <v>26.3</v>
      </c>
      <c r="D446">
        <v>69600</v>
      </c>
      <c r="E446">
        <v>62000</v>
      </c>
      <c r="F446">
        <v>1</v>
      </c>
      <c r="G446" t="s">
        <v>18</v>
      </c>
      <c r="H446">
        <v>215000</v>
      </c>
      <c r="I446">
        <v>195000</v>
      </c>
      <c r="J446">
        <v>360</v>
      </c>
      <c r="K446" t="str">
        <f t="shared" si="30"/>
        <v>20-30</v>
      </c>
      <c r="L446" s="13">
        <f t="shared" si="31"/>
        <v>90.697674418604649</v>
      </c>
      <c r="M446" t="str">
        <f t="shared" si="32"/>
        <v>not selected</v>
      </c>
      <c r="N446" t="str">
        <f t="shared" si="33"/>
        <v>not selected</v>
      </c>
      <c r="O446">
        <v>90.697674418604649</v>
      </c>
      <c r="P446">
        <v>31</v>
      </c>
      <c r="Q446">
        <v>360</v>
      </c>
      <c r="R446">
        <v>1</v>
      </c>
      <c r="S446">
        <v>5.1404321514444193</v>
      </c>
      <c r="T446" t="str">
        <f t="shared" si="34"/>
        <v>More than 80%</v>
      </c>
      <c r="U446">
        <v>90.697674418604649</v>
      </c>
      <c r="V446">
        <v>31</v>
      </c>
      <c r="W446">
        <v>1</v>
      </c>
    </row>
    <row r="447" spans="1:23">
      <c r="A447">
        <v>440</v>
      </c>
      <c r="B447">
        <v>4</v>
      </c>
      <c r="C447">
        <v>32.25</v>
      </c>
      <c r="D447">
        <v>77800</v>
      </c>
      <c r="E447">
        <v>64000</v>
      </c>
      <c r="F447">
        <v>1</v>
      </c>
      <c r="G447" t="s">
        <v>18</v>
      </c>
      <c r="H447">
        <v>295000</v>
      </c>
      <c r="I447">
        <v>225000</v>
      </c>
      <c r="J447">
        <v>360</v>
      </c>
      <c r="K447" t="str">
        <f t="shared" si="30"/>
        <v>30-40</v>
      </c>
      <c r="L447" s="13">
        <f t="shared" si="31"/>
        <v>76.271186440677965</v>
      </c>
      <c r="M447" t="str">
        <f t="shared" si="32"/>
        <v>not selected</v>
      </c>
      <c r="N447" t="str">
        <f t="shared" si="33"/>
        <v>not selected</v>
      </c>
      <c r="O447">
        <v>76.271186440677965</v>
      </c>
      <c r="P447">
        <v>34</v>
      </c>
      <c r="Q447">
        <v>360</v>
      </c>
      <c r="R447">
        <v>1</v>
      </c>
      <c r="S447">
        <v>5.0835467616427961</v>
      </c>
      <c r="T447" t="str">
        <f t="shared" si="34"/>
        <v>Less than 80%</v>
      </c>
      <c r="U447">
        <v>76.271186440677965</v>
      </c>
      <c r="V447">
        <v>34</v>
      </c>
      <c r="W447">
        <v>1</v>
      </c>
    </row>
    <row r="448" spans="1:23">
      <c r="A448">
        <v>441</v>
      </c>
      <c r="B448">
        <v>24</v>
      </c>
      <c r="C448">
        <v>10.5</v>
      </c>
      <c r="D448">
        <v>74400</v>
      </c>
      <c r="E448">
        <v>33000</v>
      </c>
      <c r="F448">
        <v>0</v>
      </c>
      <c r="G448" t="s">
        <v>18</v>
      </c>
      <c r="H448">
        <v>245000</v>
      </c>
      <c r="I448">
        <v>105000</v>
      </c>
      <c r="J448">
        <v>360</v>
      </c>
      <c r="K448" t="str">
        <f t="shared" si="30"/>
        <v>10-20</v>
      </c>
      <c r="L448" s="13">
        <f t="shared" si="31"/>
        <v>42.857142857142854</v>
      </c>
      <c r="M448" t="str">
        <f t="shared" si="32"/>
        <v>not selected</v>
      </c>
      <c r="N448" t="str">
        <f t="shared" si="33"/>
        <v>not selected</v>
      </c>
      <c r="O448">
        <v>42.857142857142854</v>
      </c>
      <c r="P448">
        <v>36</v>
      </c>
      <c r="Q448">
        <v>360</v>
      </c>
      <c r="R448">
        <v>0</v>
      </c>
      <c r="S448">
        <v>5.0914555028008905</v>
      </c>
      <c r="T448" t="str">
        <f t="shared" si="34"/>
        <v>Less than 80%</v>
      </c>
      <c r="U448">
        <v>42.857142857142854</v>
      </c>
      <c r="V448">
        <v>36</v>
      </c>
      <c r="W448">
        <v>0</v>
      </c>
    </row>
    <row r="449" spans="1:23">
      <c r="A449">
        <v>442</v>
      </c>
      <c r="B449">
        <v>29</v>
      </c>
      <c r="C449">
        <v>13.47</v>
      </c>
      <c r="D449">
        <v>82600</v>
      </c>
      <c r="E449">
        <v>186000</v>
      </c>
      <c r="F449">
        <v>0</v>
      </c>
      <c r="G449" t="s">
        <v>18</v>
      </c>
      <c r="H449">
        <v>425000</v>
      </c>
      <c r="I449">
        <v>305000</v>
      </c>
      <c r="J449">
        <v>360</v>
      </c>
      <c r="K449" t="str">
        <f t="shared" si="30"/>
        <v>10-20</v>
      </c>
      <c r="L449" s="13">
        <f t="shared" si="31"/>
        <v>71.764705882352942</v>
      </c>
      <c r="M449" t="str">
        <f t="shared" si="32"/>
        <v>not selected</v>
      </c>
      <c r="N449" t="str">
        <f t="shared" si="33"/>
        <v>not selected</v>
      </c>
      <c r="O449">
        <v>71.764705882352942</v>
      </c>
      <c r="P449">
        <v>32</v>
      </c>
      <c r="Q449">
        <v>360</v>
      </c>
      <c r="R449">
        <v>0</v>
      </c>
      <c r="S449">
        <v>4.9145706346860889</v>
      </c>
      <c r="T449" t="str">
        <f t="shared" si="34"/>
        <v>Less than 80%</v>
      </c>
      <c r="U449">
        <v>71.764705882352942</v>
      </c>
      <c r="V449">
        <v>32</v>
      </c>
      <c r="W449">
        <v>0</v>
      </c>
    </row>
    <row r="450" spans="1:23">
      <c r="A450">
        <v>443</v>
      </c>
      <c r="B450">
        <v>41</v>
      </c>
      <c r="C450">
        <v>13.57</v>
      </c>
      <c r="D450">
        <v>65100</v>
      </c>
      <c r="E450">
        <v>61000</v>
      </c>
      <c r="F450">
        <v>0</v>
      </c>
      <c r="G450" t="s">
        <v>18</v>
      </c>
      <c r="H450">
        <v>305000</v>
      </c>
      <c r="I450">
        <v>235000</v>
      </c>
      <c r="J450">
        <v>360</v>
      </c>
      <c r="K450" t="str">
        <f t="shared" si="30"/>
        <v>10-20</v>
      </c>
      <c r="L450" s="13">
        <f t="shared" si="31"/>
        <v>77.049180327868854</v>
      </c>
      <c r="M450" t="str">
        <f t="shared" si="32"/>
        <v>not selected</v>
      </c>
      <c r="N450" t="str">
        <f t="shared" si="33"/>
        <v>not selected</v>
      </c>
      <c r="O450">
        <v>77.049180327868854</v>
      </c>
      <c r="P450">
        <v>12</v>
      </c>
      <c r="Q450">
        <v>360</v>
      </c>
      <c r="R450">
        <v>0</v>
      </c>
      <c r="S450">
        <v>3.6589460231852993</v>
      </c>
      <c r="T450" t="str">
        <f t="shared" si="34"/>
        <v>Less than 80%</v>
      </c>
      <c r="U450">
        <v>77.049180327868854</v>
      </c>
      <c r="V450">
        <v>12</v>
      </c>
      <c r="W450">
        <v>0</v>
      </c>
    </row>
    <row r="451" spans="1:23">
      <c r="A451">
        <v>444</v>
      </c>
      <c r="B451">
        <v>42</v>
      </c>
      <c r="C451">
        <v>53.19</v>
      </c>
      <c r="D451">
        <v>96600</v>
      </c>
      <c r="E451">
        <v>75000</v>
      </c>
      <c r="F451">
        <v>0</v>
      </c>
      <c r="G451" t="s">
        <v>18</v>
      </c>
      <c r="H451">
        <v>265000</v>
      </c>
      <c r="I451">
        <v>215000</v>
      </c>
      <c r="J451">
        <v>360</v>
      </c>
      <c r="K451" t="str">
        <f t="shared" si="30"/>
        <v>More than 50</v>
      </c>
      <c r="L451" s="13">
        <f t="shared" si="31"/>
        <v>81.132075471698116</v>
      </c>
      <c r="M451" t="str">
        <f t="shared" si="32"/>
        <v>not selected</v>
      </c>
      <c r="N451" t="str">
        <f t="shared" si="33"/>
        <v>not selected</v>
      </c>
      <c r="O451">
        <v>81.132075471698116</v>
      </c>
      <c r="P451">
        <v>51</v>
      </c>
      <c r="Q451">
        <v>360</v>
      </c>
      <c r="R451">
        <v>0</v>
      </c>
      <c r="S451">
        <v>5.0228413460719015</v>
      </c>
      <c r="T451" t="str">
        <f t="shared" si="34"/>
        <v>More than 80%</v>
      </c>
      <c r="U451">
        <v>81.132075471698116</v>
      </c>
      <c r="V451">
        <v>51</v>
      </c>
      <c r="W451">
        <v>0</v>
      </c>
    </row>
    <row r="452" spans="1:23">
      <c r="A452">
        <v>445</v>
      </c>
      <c r="B452">
        <v>46</v>
      </c>
      <c r="C452">
        <v>4.79</v>
      </c>
      <c r="D452">
        <v>73100</v>
      </c>
      <c r="E452">
        <v>70000</v>
      </c>
      <c r="F452">
        <v>0</v>
      </c>
      <c r="G452" t="s">
        <v>18</v>
      </c>
      <c r="H452">
        <v>125000</v>
      </c>
      <c r="I452">
        <v>85000</v>
      </c>
      <c r="J452">
        <v>180</v>
      </c>
      <c r="K452" t="str">
        <f t="shared" si="30"/>
        <v>0-10</v>
      </c>
      <c r="L452" s="13">
        <f t="shared" si="31"/>
        <v>68</v>
      </c>
      <c r="M452" t="str">
        <f t="shared" si="32"/>
        <v>selected</v>
      </c>
      <c r="N452" t="str">
        <f t="shared" si="33"/>
        <v>not selected</v>
      </c>
      <c r="O452">
        <v>68</v>
      </c>
      <c r="P452">
        <v>39</v>
      </c>
      <c r="Q452">
        <v>180</v>
      </c>
      <c r="R452">
        <v>0</v>
      </c>
      <c r="S452">
        <v>5.4529447173706345</v>
      </c>
      <c r="T452" t="str">
        <f t="shared" si="34"/>
        <v>Less than 80%</v>
      </c>
      <c r="U452">
        <v>68</v>
      </c>
      <c r="V452">
        <v>39</v>
      </c>
      <c r="W452">
        <v>0</v>
      </c>
    </row>
    <row r="453" spans="1:23">
      <c r="A453">
        <v>446</v>
      </c>
      <c r="B453">
        <v>12</v>
      </c>
      <c r="C453">
        <v>39.6</v>
      </c>
      <c r="D453">
        <v>65000</v>
      </c>
      <c r="E453">
        <v>49000</v>
      </c>
      <c r="F453">
        <v>0</v>
      </c>
      <c r="G453" t="s">
        <v>18</v>
      </c>
      <c r="H453">
        <v>235000</v>
      </c>
      <c r="I453">
        <v>115000</v>
      </c>
      <c r="J453">
        <v>180</v>
      </c>
      <c r="K453" t="str">
        <f t="shared" si="30"/>
        <v>30-40</v>
      </c>
      <c r="L453" s="13">
        <f t="shared" si="31"/>
        <v>48.936170212765958</v>
      </c>
      <c r="M453" t="str">
        <f t="shared" si="32"/>
        <v>selected</v>
      </c>
      <c r="N453" t="str">
        <f t="shared" si="33"/>
        <v>not selected</v>
      </c>
      <c r="O453">
        <v>48.936170212765958</v>
      </c>
      <c r="P453">
        <v>42</v>
      </c>
      <c r="Q453">
        <v>180</v>
      </c>
      <c r="R453">
        <v>0</v>
      </c>
      <c r="S453">
        <v>5.1885021467663623</v>
      </c>
      <c r="T453" t="str">
        <f t="shared" si="34"/>
        <v>Less than 80%</v>
      </c>
      <c r="U453">
        <v>48.936170212765958</v>
      </c>
      <c r="V453">
        <v>42</v>
      </c>
      <c r="W453">
        <v>0</v>
      </c>
    </row>
    <row r="454" spans="1:23">
      <c r="A454">
        <v>447</v>
      </c>
      <c r="B454">
        <v>17</v>
      </c>
      <c r="C454">
        <v>20.69</v>
      </c>
      <c r="D454">
        <v>89100</v>
      </c>
      <c r="E454">
        <v>43000</v>
      </c>
      <c r="F454">
        <v>0</v>
      </c>
      <c r="G454" t="s">
        <v>18</v>
      </c>
      <c r="H454">
        <v>275000</v>
      </c>
      <c r="I454">
        <v>145000</v>
      </c>
      <c r="J454">
        <v>360</v>
      </c>
      <c r="K454" t="str">
        <f t="shared" si="30"/>
        <v>20-30</v>
      </c>
      <c r="L454" s="13">
        <f t="shared" si="31"/>
        <v>52.72727272727272</v>
      </c>
      <c r="M454" t="str">
        <f t="shared" si="32"/>
        <v>not selected</v>
      </c>
      <c r="N454" t="str">
        <f t="shared" si="33"/>
        <v>not selected</v>
      </c>
      <c r="O454">
        <v>52.72727272727272</v>
      </c>
      <c r="P454">
        <v>17</v>
      </c>
      <c r="Q454">
        <v>360</v>
      </c>
      <c r="R454">
        <v>0</v>
      </c>
      <c r="S454">
        <v>4.1454357363908141</v>
      </c>
      <c r="T454" t="str">
        <f t="shared" si="34"/>
        <v>Less than 80%</v>
      </c>
      <c r="U454">
        <v>52.72727272727272</v>
      </c>
      <c r="V454">
        <v>17</v>
      </c>
      <c r="W454">
        <v>0</v>
      </c>
    </row>
    <row r="455" spans="1:23">
      <c r="A455">
        <v>448</v>
      </c>
      <c r="B455">
        <v>47</v>
      </c>
      <c r="C455">
        <v>26.79</v>
      </c>
      <c r="D455">
        <v>66900</v>
      </c>
      <c r="E455">
        <v>49000</v>
      </c>
      <c r="F455">
        <v>1</v>
      </c>
      <c r="G455" t="s">
        <v>18</v>
      </c>
      <c r="H455">
        <v>95000</v>
      </c>
      <c r="I455">
        <v>55000</v>
      </c>
      <c r="J455">
        <v>360</v>
      </c>
      <c r="K455" t="str">
        <f t="shared" si="30"/>
        <v>20-30</v>
      </c>
      <c r="L455" s="13">
        <f t="shared" si="31"/>
        <v>57.894736842105267</v>
      </c>
      <c r="M455" t="str">
        <f t="shared" si="32"/>
        <v>not selected</v>
      </c>
      <c r="N455" t="str">
        <f t="shared" si="33"/>
        <v>not selected</v>
      </c>
      <c r="O455">
        <v>57.894736842105267</v>
      </c>
      <c r="P455">
        <v>25</v>
      </c>
      <c r="Q455">
        <v>360</v>
      </c>
      <c r="R455">
        <v>1</v>
      </c>
      <c r="S455">
        <v>3.9086244248581057</v>
      </c>
      <c r="T455" t="str">
        <f t="shared" si="34"/>
        <v>Less than 80%</v>
      </c>
      <c r="U455">
        <v>57.894736842105267</v>
      </c>
      <c r="V455">
        <v>25</v>
      </c>
      <c r="W455">
        <v>1</v>
      </c>
    </row>
    <row r="456" spans="1:23">
      <c r="A456">
        <v>449</v>
      </c>
      <c r="B456">
        <v>1</v>
      </c>
      <c r="C456">
        <v>10.96</v>
      </c>
      <c r="D456">
        <v>81000</v>
      </c>
      <c r="E456">
        <v>89000</v>
      </c>
      <c r="F456">
        <v>0</v>
      </c>
      <c r="G456" t="s">
        <v>18</v>
      </c>
      <c r="H456">
        <v>385000</v>
      </c>
      <c r="I456">
        <v>315000</v>
      </c>
      <c r="J456">
        <v>360</v>
      </c>
      <c r="K456" t="str">
        <f t="shared" ref="K456:K507" si="35">IF(C456&gt;=50,"More than 50",IF(C456&gt;=40,"40-50",IF(C456&gt;=30,"30-40",IF(C456&gt;=20,"20-30",IF(C456&gt;=10,"10-20","0-10")))))</f>
        <v>10-20</v>
      </c>
      <c r="L456" s="13">
        <f t="shared" ref="L456:L507" si="36">(I456/H456)*100</f>
        <v>81.818181818181827</v>
      </c>
      <c r="M456" t="str">
        <f t="shared" si="32"/>
        <v>not selected</v>
      </c>
      <c r="N456" t="str">
        <f t="shared" si="33"/>
        <v>not selected</v>
      </c>
      <c r="O456">
        <v>81.818181818181827</v>
      </c>
      <c r="P456">
        <v>57</v>
      </c>
      <c r="Q456">
        <v>360</v>
      </c>
      <c r="R456">
        <v>0</v>
      </c>
      <c r="S456">
        <v>5.3416975182032385</v>
      </c>
      <c r="T456" t="str">
        <f t="shared" si="34"/>
        <v>More than 80%</v>
      </c>
      <c r="U456">
        <v>81.818181818181827</v>
      </c>
      <c r="V456">
        <v>57</v>
      </c>
      <c r="W456">
        <v>0</v>
      </c>
    </row>
    <row r="457" spans="1:23">
      <c r="A457">
        <v>450</v>
      </c>
      <c r="B457">
        <v>48</v>
      </c>
      <c r="C457">
        <v>48.45</v>
      </c>
      <c r="D457">
        <v>97600</v>
      </c>
      <c r="E457">
        <v>82000</v>
      </c>
      <c r="F457">
        <v>0</v>
      </c>
      <c r="G457" t="s">
        <v>18</v>
      </c>
      <c r="H457">
        <v>345000</v>
      </c>
      <c r="I457">
        <v>295000</v>
      </c>
      <c r="J457">
        <v>360</v>
      </c>
      <c r="K457" t="str">
        <f t="shared" si="35"/>
        <v>40-50</v>
      </c>
      <c r="L457" s="13">
        <f t="shared" si="36"/>
        <v>85.507246376811594</v>
      </c>
      <c r="M457" t="str">
        <f t="shared" ref="M457:M507" si="37">IF(AND(L457&lt;=80,J457&lt;=180),"selected","not selected")</f>
        <v>not selected</v>
      </c>
      <c r="N457" t="str">
        <f t="shared" ref="N457:N507" si="38">IF(AND(L457&lt;=80,E457&gt;=222400),"selected","not selected")</f>
        <v>not selected</v>
      </c>
      <c r="O457">
        <v>85.507246376811594</v>
      </c>
      <c r="P457">
        <v>26</v>
      </c>
      <c r="Q457">
        <v>360</v>
      </c>
      <c r="R457">
        <v>0</v>
      </c>
      <c r="S457">
        <v>3.7580595577452769</v>
      </c>
      <c r="T457" t="str">
        <f t="shared" ref="T457:T507" si="39">IF(L457&gt;=80,"More than 80%","Less than 80%")</f>
        <v>More than 80%</v>
      </c>
      <c r="U457">
        <v>85.507246376811594</v>
      </c>
      <c r="V457">
        <v>26</v>
      </c>
      <c r="W457">
        <v>0</v>
      </c>
    </row>
    <row r="458" spans="1:23">
      <c r="A458">
        <v>451</v>
      </c>
      <c r="B458">
        <v>26</v>
      </c>
      <c r="C458">
        <v>4.4800000000000004</v>
      </c>
      <c r="D458">
        <v>63900</v>
      </c>
      <c r="E458">
        <v>25000</v>
      </c>
      <c r="F458">
        <v>1</v>
      </c>
      <c r="G458" t="s">
        <v>18</v>
      </c>
      <c r="H458">
        <v>85000</v>
      </c>
      <c r="I458">
        <v>85000</v>
      </c>
      <c r="J458">
        <v>360</v>
      </c>
      <c r="K458" t="str">
        <f t="shared" si="35"/>
        <v>0-10</v>
      </c>
      <c r="L458" s="13">
        <f t="shared" si="36"/>
        <v>100</v>
      </c>
      <c r="M458" t="str">
        <f t="shared" si="37"/>
        <v>not selected</v>
      </c>
      <c r="N458" t="str">
        <f t="shared" si="38"/>
        <v>not selected</v>
      </c>
      <c r="O458">
        <v>100</v>
      </c>
      <c r="P458">
        <v>39</v>
      </c>
      <c r="Q458">
        <v>360</v>
      </c>
      <c r="R458">
        <v>1</v>
      </c>
      <c r="S458">
        <v>5.3799530439974204</v>
      </c>
      <c r="T458" t="str">
        <f t="shared" si="39"/>
        <v>More than 80%</v>
      </c>
      <c r="U458">
        <v>100</v>
      </c>
      <c r="V458">
        <v>39</v>
      </c>
      <c r="W458">
        <v>1</v>
      </c>
    </row>
    <row r="459" spans="1:23">
      <c r="A459">
        <v>452</v>
      </c>
      <c r="B459">
        <v>51</v>
      </c>
      <c r="C459">
        <v>17.78</v>
      </c>
      <c r="D459">
        <v>81600</v>
      </c>
      <c r="E459">
        <v>65000</v>
      </c>
      <c r="F459">
        <v>0</v>
      </c>
      <c r="G459" t="s">
        <v>18</v>
      </c>
      <c r="H459">
        <v>275000</v>
      </c>
      <c r="I459">
        <v>215000</v>
      </c>
      <c r="J459">
        <v>360</v>
      </c>
      <c r="K459" t="str">
        <f t="shared" si="35"/>
        <v>10-20</v>
      </c>
      <c r="L459" s="13">
        <f t="shared" si="36"/>
        <v>78.181818181818187</v>
      </c>
      <c r="M459" t="str">
        <f t="shared" si="37"/>
        <v>not selected</v>
      </c>
      <c r="N459" t="str">
        <f t="shared" si="38"/>
        <v>not selected</v>
      </c>
      <c r="O459">
        <v>78.181818181818187</v>
      </c>
      <c r="P459">
        <v>38</v>
      </c>
      <c r="Q459">
        <v>360</v>
      </c>
      <c r="R459">
        <v>0</v>
      </c>
      <c r="S459">
        <v>4.6397467211242933</v>
      </c>
      <c r="T459" t="str">
        <f t="shared" si="39"/>
        <v>Less than 80%</v>
      </c>
      <c r="U459">
        <v>78.181818181818187</v>
      </c>
      <c r="V459">
        <v>38</v>
      </c>
      <c r="W459">
        <v>0</v>
      </c>
    </row>
    <row r="460" spans="1:23">
      <c r="A460">
        <v>453</v>
      </c>
      <c r="B460">
        <v>6</v>
      </c>
      <c r="C460">
        <v>29.86</v>
      </c>
      <c r="D460">
        <v>83300</v>
      </c>
      <c r="E460">
        <v>144000</v>
      </c>
      <c r="F460">
        <v>0</v>
      </c>
      <c r="G460" t="s">
        <v>18</v>
      </c>
      <c r="H460">
        <v>635000</v>
      </c>
      <c r="I460">
        <v>475000</v>
      </c>
      <c r="J460">
        <v>360</v>
      </c>
      <c r="K460" t="str">
        <f t="shared" si="35"/>
        <v>20-30</v>
      </c>
      <c r="L460" s="13">
        <f t="shared" si="36"/>
        <v>74.803149606299215</v>
      </c>
      <c r="M460" t="str">
        <f t="shared" si="37"/>
        <v>not selected</v>
      </c>
      <c r="N460" t="str">
        <f t="shared" si="38"/>
        <v>not selected</v>
      </c>
      <c r="O460">
        <v>74.803149606299215</v>
      </c>
      <c r="P460">
        <v>13</v>
      </c>
      <c r="Q460">
        <v>360</v>
      </c>
      <c r="R460">
        <v>0</v>
      </c>
      <c r="S460">
        <v>3.5505102300062408</v>
      </c>
      <c r="T460" t="str">
        <f t="shared" si="39"/>
        <v>Less than 80%</v>
      </c>
      <c r="U460">
        <v>74.803149606299215</v>
      </c>
      <c r="V460">
        <v>13</v>
      </c>
      <c r="W460">
        <v>0</v>
      </c>
    </row>
    <row r="461" spans="1:23">
      <c r="A461">
        <v>454</v>
      </c>
      <c r="B461">
        <v>6</v>
      </c>
      <c r="C461">
        <v>88.48</v>
      </c>
      <c r="D461">
        <v>97800</v>
      </c>
      <c r="E461">
        <v>78000</v>
      </c>
      <c r="F461">
        <v>0</v>
      </c>
      <c r="G461" t="s">
        <v>18</v>
      </c>
      <c r="H461">
        <v>495000</v>
      </c>
      <c r="I461">
        <v>465000</v>
      </c>
      <c r="J461">
        <v>360</v>
      </c>
      <c r="K461" t="str">
        <f t="shared" si="35"/>
        <v>More than 50</v>
      </c>
      <c r="L461" s="13">
        <f t="shared" si="36"/>
        <v>93.939393939393938</v>
      </c>
      <c r="M461" t="str">
        <f t="shared" si="37"/>
        <v>not selected</v>
      </c>
      <c r="N461" t="str">
        <f t="shared" si="38"/>
        <v>not selected</v>
      </c>
      <c r="O461">
        <v>93.939393939393938</v>
      </c>
      <c r="P461">
        <v>39</v>
      </c>
      <c r="Q461">
        <v>360</v>
      </c>
      <c r="R461">
        <v>0</v>
      </c>
      <c r="S461">
        <v>5.6727325669584516</v>
      </c>
      <c r="T461" t="str">
        <f t="shared" si="39"/>
        <v>More than 80%</v>
      </c>
      <c r="U461">
        <v>93.939393939393938</v>
      </c>
      <c r="V461">
        <v>39</v>
      </c>
      <c r="W461">
        <v>0</v>
      </c>
    </row>
    <row r="462" spans="1:23">
      <c r="A462">
        <v>455</v>
      </c>
      <c r="B462">
        <v>39</v>
      </c>
      <c r="C462">
        <v>44.38</v>
      </c>
      <c r="D462">
        <v>76300</v>
      </c>
      <c r="E462">
        <v>181000</v>
      </c>
      <c r="F462">
        <v>0</v>
      </c>
      <c r="G462" t="s">
        <v>18</v>
      </c>
      <c r="H462">
        <v>35000</v>
      </c>
      <c r="I462">
        <v>25000</v>
      </c>
      <c r="J462">
        <v>360</v>
      </c>
      <c r="K462" t="str">
        <f t="shared" si="35"/>
        <v>40-50</v>
      </c>
      <c r="L462" s="13">
        <f t="shared" si="36"/>
        <v>71.428571428571431</v>
      </c>
      <c r="M462" t="str">
        <f t="shared" si="37"/>
        <v>not selected</v>
      </c>
      <c r="N462" t="str">
        <f t="shared" si="38"/>
        <v>not selected</v>
      </c>
      <c r="O462">
        <v>71.428571428571431</v>
      </c>
      <c r="P462">
        <v>37</v>
      </c>
      <c r="Q462">
        <v>360</v>
      </c>
      <c r="R462">
        <v>0</v>
      </c>
      <c r="S462">
        <v>4.5990631367035846</v>
      </c>
      <c r="T462" t="str">
        <f t="shared" si="39"/>
        <v>Less than 80%</v>
      </c>
      <c r="U462">
        <v>71.428571428571431</v>
      </c>
      <c r="V462">
        <v>37</v>
      </c>
      <c r="W462">
        <v>0</v>
      </c>
    </row>
    <row r="463" spans="1:23">
      <c r="A463">
        <v>456</v>
      </c>
      <c r="B463">
        <v>53</v>
      </c>
      <c r="C463">
        <v>8.83</v>
      </c>
      <c r="D463">
        <v>74900</v>
      </c>
      <c r="E463">
        <v>171000</v>
      </c>
      <c r="F463">
        <v>0</v>
      </c>
      <c r="G463" t="s">
        <v>18</v>
      </c>
      <c r="H463">
        <v>645000</v>
      </c>
      <c r="I463">
        <v>515000</v>
      </c>
      <c r="J463">
        <v>360</v>
      </c>
      <c r="K463" t="str">
        <f t="shared" si="35"/>
        <v>0-10</v>
      </c>
      <c r="L463" s="13">
        <f t="shared" si="36"/>
        <v>79.84496124031007</v>
      </c>
      <c r="M463" t="str">
        <f t="shared" si="37"/>
        <v>not selected</v>
      </c>
      <c r="N463" t="str">
        <f t="shared" si="38"/>
        <v>not selected</v>
      </c>
      <c r="O463">
        <v>79.84496124031007</v>
      </c>
      <c r="P463">
        <v>27</v>
      </c>
      <c r="Q463">
        <v>360</v>
      </c>
      <c r="R463">
        <v>0</v>
      </c>
      <c r="S463">
        <v>3.8973465810245429</v>
      </c>
      <c r="T463" t="str">
        <f t="shared" si="39"/>
        <v>Less than 80%</v>
      </c>
      <c r="U463">
        <v>79.84496124031007</v>
      </c>
      <c r="V463">
        <v>27</v>
      </c>
      <c r="W463">
        <v>0</v>
      </c>
    </row>
    <row r="464" spans="1:23">
      <c r="A464">
        <v>457</v>
      </c>
      <c r="B464">
        <v>23</v>
      </c>
      <c r="C464">
        <v>2.13</v>
      </c>
      <c r="D464">
        <v>77700</v>
      </c>
      <c r="E464">
        <v>36000</v>
      </c>
      <c r="F464">
        <v>1</v>
      </c>
      <c r="G464" t="s">
        <v>18</v>
      </c>
      <c r="H464">
        <v>185000</v>
      </c>
      <c r="I464">
        <v>165000</v>
      </c>
      <c r="J464">
        <v>360</v>
      </c>
      <c r="K464" t="str">
        <f t="shared" si="35"/>
        <v>0-10</v>
      </c>
      <c r="L464" s="13">
        <f t="shared" si="36"/>
        <v>89.189189189189193</v>
      </c>
      <c r="M464" t="str">
        <f t="shared" si="37"/>
        <v>not selected</v>
      </c>
      <c r="N464" t="str">
        <f t="shared" si="38"/>
        <v>not selected</v>
      </c>
      <c r="O464">
        <v>89.189189189189193</v>
      </c>
      <c r="P464">
        <v>19</v>
      </c>
      <c r="Q464">
        <v>360</v>
      </c>
      <c r="R464">
        <v>1</v>
      </c>
      <c r="S464">
        <v>5.2466221903084289</v>
      </c>
      <c r="T464" t="str">
        <f t="shared" si="39"/>
        <v>More than 80%</v>
      </c>
      <c r="U464">
        <v>89.189189189189193</v>
      </c>
      <c r="V464">
        <v>19</v>
      </c>
      <c r="W464">
        <v>1</v>
      </c>
    </row>
    <row r="465" spans="1:23">
      <c r="A465">
        <v>458</v>
      </c>
      <c r="B465">
        <v>6</v>
      </c>
      <c r="C465">
        <v>28.31</v>
      </c>
      <c r="D465">
        <v>83300</v>
      </c>
      <c r="E465">
        <v>174000</v>
      </c>
      <c r="F465">
        <v>0</v>
      </c>
      <c r="G465" t="s">
        <v>18</v>
      </c>
      <c r="H465">
        <v>1445000</v>
      </c>
      <c r="I465">
        <v>725000</v>
      </c>
      <c r="J465">
        <v>360</v>
      </c>
      <c r="K465" t="str">
        <f t="shared" si="35"/>
        <v>20-30</v>
      </c>
      <c r="L465" s="13">
        <f t="shared" si="36"/>
        <v>50.173010380622841</v>
      </c>
      <c r="M465" t="str">
        <f t="shared" si="37"/>
        <v>not selected</v>
      </c>
      <c r="N465" t="str">
        <f t="shared" si="38"/>
        <v>not selected</v>
      </c>
      <c r="O465">
        <v>50.173010380622841</v>
      </c>
      <c r="P465">
        <v>32</v>
      </c>
      <c r="Q465">
        <v>360</v>
      </c>
      <c r="R465">
        <v>0</v>
      </c>
      <c r="S465">
        <v>4.9060371605545612</v>
      </c>
      <c r="T465" t="str">
        <f t="shared" si="39"/>
        <v>Less than 80%</v>
      </c>
      <c r="U465">
        <v>50.173010380622841</v>
      </c>
      <c r="V465">
        <v>32</v>
      </c>
      <c r="W465">
        <v>0</v>
      </c>
    </row>
    <row r="466" spans="1:23">
      <c r="A466">
        <v>459</v>
      </c>
      <c r="B466">
        <v>26</v>
      </c>
      <c r="C466">
        <v>13.08</v>
      </c>
      <c r="D466">
        <v>79700</v>
      </c>
      <c r="E466">
        <v>32000</v>
      </c>
      <c r="F466">
        <v>1</v>
      </c>
      <c r="G466" t="s">
        <v>18</v>
      </c>
      <c r="H466">
        <v>155000</v>
      </c>
      <c r="I466">
        <v>135000</v>
      </c>
      <c r="J466">
        <v>360</v>
      </c>
      <c r="K466" t="str">
        <f t="shared" si="35"/>
        <v>10-20</v>
      </c>
      <c r="L466" s="13">
        <f t="shared" si="36"/>
        <v>87.096774193548384</v>
      </c>
      <c r="M466" t="str">
        <f t="shared" si="37"/>
        <v>not selected</v>
      </c>
      <c r="N466" t="str">
        <f t="shared" si="38"/>
        <v>not selected</v>
      </c>
      <c r="O466">
        <v>87.096774193548384</v>
      </c>
      <c r="P466">
        <v>40</v>
      </c>
      <c r="Q466">
        <v>360</v>
      </c>
      <c r="R466">
        <v>1</v>
      </c>
      <c r="S466">
        <v>5.6813162869003104</v>
      </c>
      <c r="T466" t="str">
        <f t="shared" si="39"/>
        <v>More than 80%</v>
      </c>
      <c r="U466">
        <v>87.096774193548384</v>
      </c>
      <c r="V466">
        <v>40</v>
      </c>
      <c r="W466">
        <v>1</v>
      </c>
    </row>
    <row r="467" spans="1:23">
      <c r="A467">
        <v>460</v>
      </c>
      <c r="B467">
        <v>18</v>
      </c>
      <c r="C467">
        <v>5.86</v>
      </c>
      <c r="D467">
        <v>79600</v>
      </c>
      <c r="E467">
        <v>41000</v>
      </c>
      <c r="F467">
        <v>0</v>
      </c>
      <c r="G467" t="s">
        <v>18</v>
      </c>
      <c r="H467">
        <v>125000</v>
      </c>
      <c r="I467">
        <v>95000</v>
      </c>
      <c r="J467">
        <v>360</v>
      </c>
      <c r="K467" t="str">
        <f t="shared" si="35"/>
        <v>0-10</v>
      </c>
      <c r="L467" s="13">
        <f t="shared" si="36"/>
        <v>76</v>
      </c>
      <c r="M467" t="str">
        <f t="shared" si="37"/>
        <v>not selected</v>
      </c>
      <c r="N467" t="str">
        <f t="shared" si="38"/>
        <v>not selected</v>
      </c>
      <c r="O467">
        <v>76</v>
      </c>
      <c r="P467">
        <v>23</v>
      </c>
      <c r="Q467">
        <v>360</v>
      </c>
      <c r="R467">
        <v>0</v>
      </c>
      <c r="S467">
        <v>3.8936081898039747</v>
      </c>
      <c r="T467" t="str">
        <f t="shared" si="39"/>
        <v>Less than 80%</v>
      </c>
      <c r="U467">
        <v>76</v>
      </c>
      <c r="V467">
        <v>23</v>
      </c>
      <c r="W467">
        <v>0</v>
      </c>
    </row>
    <row r="468" spans="1:23">
      <c r="A468">
        <v>461</v>
      </c>
      <c r="B468">
        <v>12</v>
      </c>
      <c r="C468">
        <v>32.83</v>
      </c>
      <c r="D468">
        <v>65900</v>
      </c>
      <c r="E468">
        <v>125000</v>
      </c>
      <c r="F468">
        <v>0</v>
      </c>
      <c r="G468" t="s">
        <v>18</v>
      </c>
      <c r="H468">
        <v>395000</v>
      </c>
      <c r="I468">
        <v>315000</v>
      </c>
      <c r="J468">
        <v>360</v>
      </c>
      <c r="K468" t="str">
        <f t="shared" si="35"/>
        <v>30-40</v>
      </c>
      <c r="L468" s="13">
        <f t="shared" si="36"/>
        <v>79.74683544303798</v>
      </c>
      <c r="M468" t="str">
        <f t="shared" si="37"/>
        <v>not selected</v>
      </c>
      <c r="N468" t="str">
        <f t="shared" si="38"/>
        <v>not selected</v>
      </c>
      <c r="O468">
        <v>79.74683544303798</v>
      </c>
      <c r="P468">
        <v>20</v>
      </c>
      <c r="Q468">
        <v>360</v>
      </c>
      <c r="R468">
        <v>0</v>
      </c>
      <c r="S468">
        <v>4.5722042835807866</v>
      </c>
      <c r="T468" t="str">
        <f t="shared" si="39"/>
        <v>Less than 80%</v>
      </c>
      <c r="U468">
        <v>79.74683544303798</v>
      </c>
      <c r="V468">
        <v>20</v>
      </c>
      <c r="W468">
        <v>0</v>
      </c>
    </row>
    <row r="469" spans="1:23">
      <c r="A469">
        <v>462</v>
      </c>
      <c r="B469">
        <v>17</v>
      </c>
      <c r="C469">
        <v>27.53</v>
      </c>
      <c r="D469">
        <v>89100</v>
      </c>
      <c r="E469">
        <v>60000</v>
      </c>
      <c r="F469">
        <v>0</v>
      </c>
      <c r="G469" t="s">
        <v>18</v>
      </c>
      <c r="H469">
        <v>205000</v>
      </c>
      <c r="I469">
        <v>155000</v>
      </c>
      <c r="J469">
        <v>360</v>
      </c>
      <c r="K469" t="str">
        <f t="shared" si="35"/>
        <v>20-30</v>
      </c>
      <c r="L469" s="13">
        <f t="shared" si="36"/>
        <v>75.609756097560975</v>
      </c>
      <c r="M469" t="str">
        <f t="shared" si="37"/>
        <v>not selected</v>
      </c>
      <c r="N469" t="str">
        <f t="shared" si="38"/>
        <v>not selected</v>
      </c>
      <c r="O469">
        <v>75.609756097560975</v>
      </c>
      <c r="P469">
        <v>26</v>
      </c>
      <c r="Q469">
        <v>360</v>
      </c>
      <c r="R469">
        <v>0</v>
      </c>
      <c r="S469">
        <v>4.4859350507592479</v>
      </c>
      <c r="T469" t="str">
        <f t="shared" si="39"/>
        <v>Less than 80%</v>
      </c>
      <c r="U469">
        <v>75.609756097560975</v>
      </c>
      <c r="V469">
        <v>26</v>
      </c>
      <c r="W469">
        <v>0</v>
      </c>
    </row>
    <row r="470" spans="1:23">
      <c r="A470">
        <v>463</v>
      </c>
      <c r="B470">
        <v>32</v>
      </c>
      <c r="C470">
        <v>24.92</v>
      </c>
      <c r="D470">
        <v>70800</v>
      </c>
      <c r="E470">
        <v>49000</v>
      </c>
      <c r="F470">
        <v>0</v>
      </c>
      <c r="G470" t="s">
        <v>18</v>
      </c>
      <c r="H470">
        <v>225000</v>
      </c>
      <c r="I470">
        <v>165000</v>
      </c>
      <c r="J470">
        <v>360</v>
      </c>
      <c r="K470" t="str">
        <f t="shared" si="35"/>
        <v>20-30</v>
      </c>
      <c r="L470" s="13">
        <f t="shared" si="36"/>
        <v>73.333333333333329</v>
      </c>
      <c r="M470" t="str">
        <f t="shared" si="37"/>
        <v>not selected</v>
      </c>
      <c r="N470" t="str">
        <f t="shared" si="38"/>
        <v>not selected</v>
      </c>
      <c r="O470">
        <v>73.333333333333329</v>
      </c>
      <c r="P470">
        <v>33</v>
      </c>
      <c r="Q470">
        <v>360</v>
      </c>
      <c r="R470">
        <v>0</v>
      </c>
      <c r="S470">
        <v>4.7257543866745824</v>
      </c>
      <c r="T470" t="str">
        <f t="shared" si="39"/>
        <v>Less than 80%</v>
      </c>
      <c r="U470">
        <v>73.333333333333329</v>
      </c>
      <c r="V470">
        <v>33</v>
      </c>
      <c r="W470">
        <v>0</v>
      </c>
    </row>
    <row r="471" spans="1:23">
      <c r="A471">
        <v>464</v>
      </c>
      <c r="B471">
        <v>12</v>
      </c>
      <c r="C471">
        <v>16.02</v>
      </c>
      <c r="D471">
        <v>69200</v>
      </c>
      <c r="E471">
        <v>20000</v>
      </c>
      <c r="F471">
        <v>0</v>
      </c>
      <c r="G471" t="s">
        <v>18</v>
      </c>
      <c r="H471">
        <v>125000</v>
      </c>
      <c r="I471">
        <v>65000</v>
      </c>
      <c r="J471">
        <v>360</v>
      </c>
      <c r="K471" t="str">
        <f t="shared" si="35"/>
        <v>10-20</v>
      </c>
      <c r="L471" s="13">
        <f t="shared" si="36"/>
        <v>52</v>
      </c>
      <c r="M471" t="str">
        <f t="shared" si="37"/>
        <v>not selected</v>
      </c>
      <c r="N471" t="str">
        <f t="shared" si="38"/>
        <v>not selected</v>
      </c>
      <c r="O471">
        <v>52</v>
      </c>
      <c r="P471">
        <v>26</v>
      </c>
      <c r="Q471">
        <v>360</v>
      </c>
      <c r="R471">
        <v>0</v>
      </c>
      <c r="S471">
        <v>4.3565072182573035</v>
      </c>
      <c r="T471" t="str">
        <f t="shared" si="39"/>
        <v>Less than 80%</v>
      </c>
      <c r="U471">
        <v>52</v>
      </c>
      <c r="V471">
        <v>26</v>
      </c>
      <c r="W471">
        <v>0</v>
      </c>
    </row>
    <row r="472" spans="1:23">
      <c r="A472">
        <v>465</v>
      </c>
      <c r="B472">
        <v>6</v>
      </c>
      <c r="C472">
        <v>61.56</v>
      </c>
      <c r="D472">
        <v>83300</v>
      </c>
      <c r="E472">
        <v>100000</v>
      </c>
      <c r="F472">
        <v>0</v>
      </c>
      <c r="G472" t="s">
        <v>18</v>
      </c>
      <c r="H472">
        <v>445000</v>
      </c>
      <c r="I472">
        <v>395000</v>
      </c>
      <c r="J472">
        <v>360</v>
      </c>
      <c r="K472" t="str">
        <f t="shared" si="35"/>
        <v>More than 50</v>
      </c>
      <c r="L472" s="13">
        <f t="shared" si="36"/>
        <v>88.764044943820224</v>
      </c>
      <c r="M472" t="str">
        <f t="shared" si="37"/>
        <v>not selected</v>
      </c>
      <c r="N472" t="str">
        <f t="shared" si="38"/>
        <v>not selected</v>
      </c>
      <c r="O472">
        <v>88.764044943820224</v>
      </c>
      <c r="P472">
        <v>16</v>
      </c>
      <c r="Q472">
        <v>360</v>
      </c>
      <c r="R472">
        <v>0</v>
      </c>
      <c r="S472">
        <v>4.0897897016954561</v>
      </c>
      <c r="T472" t="str">
        <f t="shared" si="39"/>
        <v>More than 80%</v>
      </c>
      <c r="U472">
        <v>88.764044943820224</v>
      </c>
      <c r="V472">
        <v>16</v>
      </c>
      <c r="W472">
        <v>0</v>
      </c>
    </row>
    <row r="473" spans="1:23">
      <c r="A473">
        <v>466</v>
      </c>
      <c r="B473">
        <v>48</v>
      </c>
      <c r="C473">
        <v>47.77</v>
      </c>
      <c r="D473">
        <v>72200</v>
      </c>
      <c r="E473">
        <v>77000</v>
      </c>
      <c r="F473">
        <v>0</v>
      </c>
      <c r="G473" t="s">
        <v>18</v>
      </c>
      <c r="H473">
        <v>335000</v>
      </c>
      <c r="I473">
        <v>265000</v>
      </c>
      <c r="J473">
        <v>360</v>
      </c>
      <c r="K473" t="str">
        <f t="shared" si="35"/>
        <v>40-50</v>
      </c>
      <c r="L473" s="13">
        <f t="shared" si="36"/>
        <v>79.104477611940297</v>
      </c>
      <c r="M473" t="str">
        <f t="shared" si="37"/>
        <v>not selected</v>
      </c>
      <c r="N473" t="str">
        <f t="shared" si="38"/>
        <v>not selected</v>
      </c>
      <c r="O473">
        <v>79.104477611940297</v>
      </c>
      <c r="P473">
        <v>46</v>
      </c>
      <c r="Q473">
        <v>360</v>
      </c>
      <c r="R473">
        <v>0</v>
      </c>
      <c r="S473">
        <v>4.7833677599010507</v>
      </c>
      <c r="T473" t="str">
        <f t="shared" si="39"/>
        <v>Less than 80%</v>
      </c>
      <c r="U473">
        <v>79.104477611940297</v>
      </c>
      <c r="V473">
        <v>46</v>
      </c>
      <c r="W473">
        <v>0</v>
      </c>
    </row>
    <row r="474" spans="1:23">
      <c r="A474">
        <v>467</v>
      </c>
      <c r="B474">
        <v>15</v>
      </c>
      <c r="C474">
        <v>79.349999999999994</v>
      </c>
      <c r="D474">
        <v>97500</v>
      </c>
      <c r="E474">
        <v>170000</v>
      </c>
      <c r="F474">
        <v>0</v>
      </c>
      <c r="G474" t="s">
        <v>18</v>
      </c>
      <c r="H474">
        <v>725000</v>
      </c>
      <c r="I474">
        <v>595000</v>
      </c>
      <c r="J474">
        <v>360</v>
      </c>
      <c r="K474" t="str">
        <f t="shared" si="35"/>
        <v>More than 50</v>
      </c>
      <c r="L474" s="13">
        <f t="shared" si="36"/>
        <v>82.068965517241381</v>
      </c>
      <c r="M474" t="str">
        <f t="shared" si="37"/>
        <v>not selected</v>
      </c>
      <c r="N474" t="str">
        <f t="shared" si="38"/>
        <v>not selected</v>
      </c>
      <c r="O474">
        <v>82.068965517241381</v>
      </c>
      <c r="P474">
        <v>27</v>
      </c>
      <c r="Q474">
        <v>360</v>
      </c>
      <c r="R474">
        <v>0</v>
      </c>
      <c r="S474">
        <v>4.6127785408615569</v>
      </c>
      <c r="T474" t="str">
        <f t="shared" si="39"/>
        <v>More than 80%</v>
      </c>
      <c r="U474">
        <v>82.068965517241381</v>
      </c>
      <c r="V474">
        <v>27</v>
      </c>
      <c r="W474">
        <v>0</v>
      </c>
    </row>
    <row r="475" spans="1:23">
      <c r="A475">
        <v>468</v>
      </c>
      <c r="B475">
        <v>1</v>
      </c>
      <c r="C475">
        <v>6.66</v>
      </c>
      <c r="D475">
        <v>65700</v>
      </c>
      <c r="E475">
        <v>317000</v>
      </c>
      <c r="F475">
        <v>0</v>
      </c>
      <c r="G475" t="s">
        <v>18</v>
      </c>
      <c r="H475">
        <v>665000</v>
      </c>
      <c r="I475">
        <v>495000</v>
      </c>
      <c r="J475">
        <v>360</v>
      </c>
      <c r="K475" t="str">
        <f t="shared" si="35"/>
        <v>0-10</v>
      </c>
      <c r="L475" s="13">
        <f t="shared" si="36"/>
        <v>74.436090225563916</v>
      </c>
      <c r="M475" t="str">
        <f t="shared" si="37"/>
        <v>not selected</v>
      </c>
      <c r="N475" t="str">
        <f t="shared" si="38"/>
        <v>selected</v>
      </c>
      <c r="O475">
        <v>74.436090225563916</v>
      </c>
      <c r="P475">
        <v>34</v>
      </c>
      <c r="Q475">
        <v>360</v>
      </c>
      <c r="R475">
        <v>0</v>
      </c>
      <c r="S475">
        <v>3.7877283500753198</v>
      </c>
      <c r="T475" t="str">
        <f t="shared" si="39"/>
        <v>Less than 80%</v>
      </c>
      <c r="U475">
        <v>74.436090225563916</v>
      </c>
      <c r="V475">
        <v>34</v>
      </c>
      <c r="W475">
        <v>0</v>
      </c>
    </row>
    <row r="476" spans="1:23">
      <c r="A476">
        <v>469</v>
      </c>
      <c r="B476">
        <v>26</v>
      </c>
      <c r="C476">
        <v>16.53</v>
      </c>
      <c r="D476">
        <v>79700</v>
      </c>
      <c r="E476">
        <v>103000</v>
      </c>
      <c r="F476">
        <v>0</v>
      </c>
      <c r="G476" t="s">
        <v>18</v>
      </c>
      <c r="H476">
        <v>335000</v>
      </c>
      <c r="I476">
        <v>165000</v>
      </c>
      <c r="J476">
        <v>360</v>
      </c>
      <c r="K476" t="str">
        <f t="shared" si="35"/>
        <v>10-20</v>
      </c>
      <c r="L476" s="13">
        <f t="shared" si="36"/>
        <v>49.253731343283583</v>
      </c>
      <c r="M476" t="str">
        <f t="shared" si="37"/>
        <v>not selected</v>
      </c>
      <c r="N476" t="str">
        <f t="shared" si="38"/>
        <v>not selected</v>
      </c>
      <c r="O476">
        <v>49.253731343283583</v>
      </c>
      <c r="P476">
        <v>40</v>
      </c>
      <c r="Q476">
        <v>360</v>
      </c>
      <c r="R476">
        <v>0</v>
      </c>
      <c r="S476">
        <v>5.5157781503749517</v>
      </c>
      <c r="T476" t="str">
        <f t="shared" si="39"/>
        <v>Less than 80%</v>
      </c>
      <c r="U476">
        <v>49.253731343283583</v>
      </c>
      <c r="V476">
        <v>40</v>
      </c>
      <c r="W476">
        <v>0</v>
      </c>
    </row>
    <row r="477" spans="1:23">
      <c r="A477">
        <v>470</v>
      </c>
      <c r="B477">
        <v>4</v>
      </c>
      <c r="C477">
        <v>31.37</v>
      </c>
      <c r="D477">
        <v>77800</v>
      </c>
      <c r="E477">
        <v>54000</v>
      </c>
      <c r="F477">
        <v>1</v>
      </c>
      <c r="G477" t="s">
        <v>18</v>
      </c>
      <c r="H477">
        <v>235000</v>
      </c>
      <c r="I477">
        <v>225000</v>
      </c>
      <c r="J477">
        <v>360</v>
      </c>
      <c r="K477" t="str">
        <f t="shared" si="35"/>
        <v>30-40</v>
      </c>
      <c r="L477" s="13">
        <f t="shared" si="36"/>
        <v>95.744680851063833</v>
      </c>
      <c r="M477" t="str">
        <f t="shared" si="37"/>
        <v>not selected</v>
      </c>
      <c r="N477" t="str">
        <f t="shared" si="38"/>
        <v>not selected</v>
      </c>
      <c r="O477">
        <v>95.744680851063833</v>
      </c>
      <c r="P477">
        <v>16</v>
      </c>
      <c r="Q477">
        <v>360</v>
      </c>
      <c r="R477">
        <v>1</v>
      </c>
      <c r="S477">
        <v>5.699654659331439</v>
      </c>
      <c r="T477" t="str">
        <f t="shared" si="39"/>
        <v>More than 80%</v>
      </c>
      <c r="U477">
        <v>95.744680851063833</v>
      </c>
      <c r="V477">
        <v>16</v>
      </c>
      <c r="W477">
        <v>1</v>
      </c>
    </row>
    <row r="478" spans="1:23">
      <c r="A478">
        <v>471</v>
      </c>
      <c r="B478">
        <v>6</v>
      </c>
      <c r="C478">
        <v>58.33</v>
      </c>
      <c r="D478">
        <v>83300</v>
      </c>
      <c r="E478">
        <v>95000</v>
      </c>
      <c r="F478">
        <v>0</v>
      </c>
      <c r="G478" t="s">
        <v>18</v>
      </c>
      <c r="H478">
        <v>365000</v>
      </c>
      <c r="I478">
        <v>275000</v>
      </c>
      <c r="J478">
        <v>360</v>
      </c>
      <c r="K478" t="str">
        <f t="shared" si="35"/>
        <v>More than 50</v>
      </c>
      <c r="L478" s="13">
        <f t="shared" si="36"/>
        <v>75.342465753424662</v>
      </c>
      <c r="M478" t="str">
        <f t="shared" si="37"/>
        <v>not selected</v>
      </c>
      <c r="N478" t="str">
        <f t="shared" si="38"/>
        <v>not selected</v>
      </c>
      <c r="O478">
        <v>75.342465753424662</v>
      </c>
      <c r="P478">
        <v>35</v>
      </c>
      <c r="Q478">
        <v>360</v>
      </c>
      <c r="R478">
        <v>0</v>
      </c>
      <c r="S478">
        <v>4.6080956000538036</v>
      </c>
      <c r="T478" t="str">
        <f t="shared" si="39"/>
        <v>Less than 80%</v>
      </c>
      <c r="U478">
        <v>75.342465753424662</v>
      </c>
      <c r="V478">
        <v>35</v>
      </c>
      <c r="W478">
        <v>0</v>
      </c>
    </row>
    <row r="479" spans="1:23">
      <c r="A479">
        <v>472</v>
      </c>
      <c r="B479">
        <v>9</v>
      </c>
      <c r="C479">
        <v>11.49</v>
      </c>
      <c r="D479">
        <v>91800</v>
      </c>
      <c r="E479">
        <v>53000</v>
      </c>
      <c r="F479">
        <v>1</v>
      </c>
      <c r="G479" t="s">
        <v>18</v>
      </c>
      <c r="H479">
        <v>245000</v>
      </c>
      <c r="I479">
        <v>205000</v>
      </c>
      <c r="J479">
        <v>360</v>
      </c>
      <c r="K479" t="str">
        <f t="shared" si="35"/>
        <v>10-20</v>
      </c>
      <c r="L479" s="13">
        <f t="shared" si="36"/>
        <v>83.673469387755105</v>
      </c>
      <c r="M479" t="str">
        <f t="shared" si="37"/>
        <v>not selected</v>
      </c>
      <c r="N479" t="str">
        <f t="shared" si="38"/>
        <v>not selected</v>
      </c>
      <c r="O479">
        <v>83.673469387755105</v>
      </c>
      <c r="P479">
        <v>32</v>
      </c>
      <c r="Q479">
        <v>360</v>
      </c>
      <c r="R479">
        <v>1</v>
      </c>
      <c r="S479">
        <v>5.901196546280314</v>
      </c>
      <c r="T479" t="str">
        <f t="shared" si="39"/>
        <v>More than 80%</v>
      </c>
      <c r="U479">
        <v>83.673469387755105</v>
      </c>
      <c r="V479">
        <v>32</v>
      </c>
      <c r="W479">
        <v>1</v>
      </c>
    </row>
    <row r="480" spans="1:23">
      <c r="A480">
        <v>473</v>
      </c>
      <c r="B480">
        <v>4</v>
      </c>
      <c r="C480">
        <v>35.979999999999997</v>
      </c>
      <c r="D480">
        <v>77800</v>
      </c>
      <c r="E480">
        <v>100000</v>
      </c>
      <c r="F480">
        <v>0</v>
      </c>
      <c r="G480" t="s">
        <v>18</v>
      </c>
      <c r="H480">
        <v>245000</v>
      </c>
      <c r="I480">
        <v>185000</v>
      </c>
      <c r="J480">
        <v>360</v>
      </c>
      <c r="K480" t="str">
        <f t="shared" si="35"/>
        <v>30-40</v>
      </c>
      <c r="L480" s="13">
        <f t="shared" si="36"/>
        <v>75.510204081632651</v>
      </c>
      <c r="M480" t="str">
        <f t="shared" si="37"/>
        <v>not selected</v>
      </c>
      <c r="N480" t="str">
        <f t="shared" si="38"/>
        <v>not selected</v>
      </c>
      <c r="O480">
        <v>75.510204081632651</v>
      </c>
      <c r="P480">
        <v>26</v>
      </c>
      <c r="Q480">
        <v>360</v>
      </c>
      <c r="R480">
        <v>0</v>
      </c>
      <c r="S480">
        <v>5.0588799642623137</v>
      </c>
      <c r="T480" t="str">
        <f t="shared" si="39"/>
        <v>Less than 80%</v>
      </c>
      <c r="U480">
        <v>75.510204081632651</v>
      </c>
      <c r="V480">
        <v>26</v>
      </c>
      <c r="W480">
        <v>0</v>
      </c>
    </row>
    <row r="481" spans="1:23">
      <c r="A481">
        <v>474</v>
      </c>
      <c r="B481">
        <v>25</v>
      </c>
      <c r="C481">
        <v>30.74</v>
      </c>
      <c r="D481">
        <v>114000</v>
      </c>
      <c r="E481">
        <v>118000</v>
      </c>
      <c r="F481">
        <v>0</v>
      </c>
      <c r="G481" t="s">
        <v>18</v>
      </c>
      <c r="H481">
        <v>1105000</v>
      </c>
      <c r="I481">
        <v>155000</v>
      </c>
      <c r="J481">
        <v>240</v>
      </c>
      <c r="K481" t="str">
        <f t="shared" si="35"/>
        <v>30-40</v>
      </c>
      <c r="L481" s="13">
        <f t="shared" si="36"/>
        <v>14.027149321266968</v>
      </c>
      <c r="M481" t="str">
        <f t="shared" si="37"/>
        <v>not selected</v>
      </c>
      <c r="N481" t="str">
        <f t="shared" si="38"/>
        <v>not selected</v>
      </c>
      <c r="O481">
        <v>14.027149321266968</v>
      </c>
      <c r="P481">
        <v>31</v>
      </c>
      <c r="Q481">
        <v>240</v>
      </c>
      <c r="R481">
        <v>0</v>
      </c>
      <c r="S481">
        <v>4.1766495025088037</v>
      </c>
      <c r="T481" t="str">
        <f t="shared" si="39"/>
        <v>Less than 80%</v>
      </c>
      <c r="U481">
        <v>14.027149321266968</v>
      </c>
      <c r="V481">
        <v>31</v>
      </c>
      <c r="W481">
        <v>0</v>
      </c>
    </row>
    <row r="482" spans="1:23">
      <c r="A482">
        <v>475</v>
      </c>
      <c r="B482">
        <v>20</v>
      </c>
      <c r="C482">
        <v>7.17</v>
      </c>
      <c r="D482">
        <v>88800</v>
      </c>
      <c r="E482">
        <v>83000</v>
      </c>
      <c r="F482">
        <v>0</v>
      </c>
      <c r="G482" t="s">
        <v>18</v>
      </c>
      <c r="H482">
        <v>235000</v>
      </c>
      <c r="I482">
        <v>175000</v>
      </c>
      <c r="J482">
        <v>180</v>
      </c>
      <c r="K482" t="str">
        <f t="shared" si="35"/>
        <v>0-10</v>
      </c>
      <c r="L482" s="13">
        <f t="shared" si="36"/>
        <v>74.468085106382972</v>
      </c>
      <c r="M482" t="str">
        <f t="shared" si="37"/>
        <v>selected</v>
      </c>
      <c r="N482" t="str">
        <f t="shared" si="38"/>
        <v>not selected</v>
      </c>
      <c r="O482">
        <v>74.468085106382972</v>
      </c>
      <c r="P482">
        <v>37</v>
      </c>
      <c r="Q482">
        <v>180</v>
      </c>
      <c r="R482">
        <v>0</v>
      </c>
      <c r="S482">
        <v>5.0362097197483049</v>
      </c>
      <c r="T482" t="str">
        <f t="shared" si="39"/>
        <v>Less than 80%</v>
      </c>
      <c r="U482">
        <v>74.468085106382972</v>
      </c>
      <c r="V482">
        <v>37</v>
      </c>
      <c r="W482">
        <v>0</v>
      </c>
    </row>
    <row r="483" spans="1:23">
      <c r="A483">
        <v>476</v>
      </c>
      <c r="B483">
        <v>36</v>
      </c>
      <c r="C483">
        <v>11.03</v>
      </c>
      <c r="D483">
        <v>96500</v>
      </c>
      <c r="E483">
        <v>78000</v>
      </c>
      <c r="F483">
        <v>0</v>
      </c>
      <c r="G483" t="s">
        <v>18</v>
      </c>
      <c r="H483">
        <v>655000</v>
      </c>
      <c r="I483">
        <v>365000</v>
      </c>
      <c r="J483">
        <v>360</v>
      </c>
      <c r="K483" t="str">
        <f t="shared" si="35"/>
        <v>10-20</v>
      </c>
      <c r="L483" s="13">
        <f t="shared" si="36"/>
        <v>55.725190839694662</v>
      </c>
      <c r="M483" t="str">
        <f t="shared" si="37"/>
        <v>not selected</v>
      </c>
      <c r="N483" t="str">
        <f t="shared" si="38"/>
        <v>not selected</v>
      </c>
      <c r="O483">
        <v>55.725190839694662</v>
      </c>
      <c r="P483">
        <v>57</v>
      </c>
      <c r="Q483">
        <v>360</v>
      </c>
      <c r="R483">
        <v>0</v>
      </c>
      <c r="S483">
        <v>5.6314968107119672</v>
      </c>
      <c r="T483" t="str">
        <f t="shared" si="39"/>
        <v>Less than 80%</v>
      </c>
      <c r="U483">
        <v>55.725190839694662</v>
      </c>
      <c r="V483">
        <v>57</v>
      </c>
      <c r="W483">
        <v>0</v>
      </c>
    </row>
    <row r="484" spans="1:23">
      <c r="A484">
        <v>477</v>
      </c>
      <c r="B484">
        <v>6</v>
      </c>
      <c r="C484">
        <v>15.81</v>
      </c>
      <c r="D484">
        <v>97300</v>
      </c>
      <c r="E484">
        <v>196000</v>
      </c>
      <c r="F484">
        <v>0</v>
      </c>
      <c r="G484" t="s">
        <v>18</v>
      </c>
      <c r="H484">
        <v>745000</v>
      </c>
      <c r="I484">
        <v>315000</v>
      </c>
      <c r="J484">
        <v>360</v>
      </c>
      <c r="K484" t="str">
        <f t="shared" si="35"/>
        <v>10-20</v>
      </c>
      <c r="L484" s="13">
        <f t="shared" si="36"/>
        <v>42.281879194630875</v>
      </c>
      <c r="M484" t="str">
        <f t="shared" si="37"/>
        <v>not selected</v>
      </c>
      <c r="N484" t="str">
        <f t="shared" si="38"/>
        <v>not selected</v>
      </c>
      <c r="O484">
        <v>42.281879194630875</v>
      </c>
      <c r="P484">
        <v>5</v>
      </c>
      <c r="Q484">
        <v>360</v>
      </c>
      <c r="R484">
        <v>0</v>
      </c>
      <c r="S484">
        <v>4.0452685840992899</v>
      </c>
      <c r="T484" t="str">
        <f t="shared" si="39"/>
        <v>Less than 80%</v>
      </c>
      <c r="U484">
        <v>42.281879194630875</v>
      </c>
      <c r="V484">
        <v>5</v>
      </c>
      <c r="W484">
        <v>0</v>
      </c>
    </row>
    <row r="485" spans="1:23">
      <c r="A485">
        <v>478</v>
      </c>
      <c r="B485">
        <v>6</v>
      </c>
      <c r="C485">
        <v>10.53</v>
      </c>
      <c r="D485">
        <v>102700</v>
      </c>
      <c r="E485">
        <v>105000</v>
      </c>
      <c r="F485">
        <v>0</v>
      </c>
      <c r="G485" t="s">
        <v>18</v>
      </c>
      <c r="H485">
        <v>805000</v>
      </c>
      <c r="I485">
        <v>555000</v>
      </c>
      <c r="J485">
        <v>360</v>
      </c>
      <c r="K485" t="str">
        <f t="shared" si="35"/>
        <v>10-20</v>
      </c>
      <c r="L485" s="13">
        <f t="shared" si="36"/>
        <v>68.944099378881987</v>
      </c>
      <c r="M485" t="str">
        <f t="shared" si="37"/>
        <v>not selected</v>
      </c>
      <c r="N485" t="str">
        <f t="shared" si="38"/>
        <v>not selected</v>
      </c>
      <c r="O485">
        <v>68.944099378881987</v>
      </c>
      <c r="P485">
        <v>27</v>
      </c>
      <c r="Q485">
        <v>360</v>
      </c>
      <c r="R485">
        <v>0</v>
      </c>
      <c r="S485">
        <v>4.8567099945810979</v>
      </c>
      <c r="T485" t="str">
        <f t="shared" si="39"/>
        <v>Less than 80%</v>
      </c>
      <c r="U485">
        <v>68.944099378881987</v>
      </c>
      <c r="V485">
        <v>27</v>
      </c>
      <c r="W485">
        <v>0</v>
      </c>
    </row>
    <row r="486" spans="1:23">
      <c r="A486">
        <v>479</v>
      </c>
      <c r="B486">
        <v>6</v>
      </c>
      <c r="C486">
        <v>94.85</v>
      </c>
      <c r="D486">
        <v>83300</v>
      </c>
      <c r="E486">
        <v>120000</v>
      </c>
      <c r="F486">
        <v>0</v>
      </c>
      <c r="G486" t="s">
        <v>18</v>
      </c>
      <c r="H486">
        <v>1265000</v>
      </c>
      <c r="I486">
        <v>665000</v>
      </c>
      <c r="J486">
        <v>360</v>
      </c>
      <c r="K486" t="str">
        <f t="shared" si="35"/>
        <v>More than 50</v>
      </c>
      <c r="L486" s="13">
        <f t="shared" si="36"/>
        <v>52.569169960474305</v>
      </c>
      <c r="M486" t="str">
        <f t="shared" si="37"/>
        <v>not selected</v>
      </c>
      <c r="N486" t="str">
        <f t="shared" si="38"/>
        <v>not selected</v>
      </c>
      <c r="O486">
        <v>52.569169960474305</v>
      </c>
      <c r="P486">
        <v>45</v>
      </c>
      <c r="Q486">
        <v>360</v>
      </c>
      <c r="R486">
        <v>0</v>
      </c>
      <c r="S486">
        <v>5.4006117154633984</v>
      </c>
      <c r="T486" t="str">
        <f t="shared" si="39"/>
        <v>Less than 80%</v>
      </c>
      <c r="U486">
        <v>52.569169960474305</v>
      </c>
      <c r="V486">
        <v>45</v>
      </c>
      <c r="W486">
        <v>0</v>
      </c>
    </row>
    <row r="487" spans="1:23">
      <c r="A487">
        <v>480</v>
      </c>
      <c r="B487">
        <v>48</v>
      </c>
      <c r="C487">
        <v>55.38</v>
      </c>
      <c r="D487">
        <v>80000</v>
      </c>
      <c r="E487">
        <v>38000</v>
      </c>
      <c r="F487">
        <v>1</v>
      </c>
      <c r="G487" t="s">
        <v>18</v>
      </c>
      <c r="H487">
        <v>135000</v>
      </c>
      <c r="I487">
        <v>115000</v>
      </c>
      <c r="J487">
        <v>360</v>
      </c>
      <c r="K487" t="str">
        <f t="shared" si="35"/>
        <v>More than 50</v>
      </c>
      <c r="L487" s="13">
        <f t="shared" si="36"/>
        <v>85.18518518518519</v>
      </c>
      <c r="M487" t="str">
        <f t="shared" si="37"/>
        <v>not selected</v>
      </c>
      <c r="N487" t="str">
        <f t="shared" si="38"/>
        <v>not selected</v>
      </c>
      <c r="O487">
        <v>85.18518518518519</v>
      </c>
      <c r="P487">
        <v>19</v>
      </c>
      <c r="Q487">
        <v>360</v>
      </c>
      <c r="R487">
        <v>1</v>
      </c>
      <c r="S487">
        <v>4.3621554736279293</v>
      </c>
      <c r="T487" t="str">
        <f t="shared" si="39"/>
        <v>More than 80%</v>
      </c>
      <c r="U487">
        <v>85.18518518518519</v>
      </c>
      <c r="V487">
        <v>19</v>
      </c>
      <c r="W487">
        <v>1</v>
      </c>
    </row>
    <row r="488" spans="1:23">
      <c r="A488">
        <v>481</v>
      </c>
      <c r="B488">
        <v>8</v>
      </c>
      <c r="C488">
        <v>23.51</v>
      </c>
      <c r="D488">
        <v>100000</v>
      </c>
      <c r="E488">
        <v>84000</v>
      </c>
      <c r="F488">
        <v>0</v>
      </c>
      <c r="G488" t="s">
        <v>18</v>
      </c>
      <c r="H488">
        <v>605000</v>
      </c>
      <c r="I488">
        <v>425000</v>
      </c>
      <c r="J488">
        <v>360</v>
      </c>
      <c r="K488" t="str">
        <f t="shared" si="35"/>
        <v>20-30</v>
      </c>
      <c r="L488" s="13">
        <f t="shared" si="36"/>
        <v>70.247933884297524</v>
      </c>
      <c r="M488" t="str">
        <f t="shared" si="37"/>
        <v>not selected</v>
      </c>
      <c r="N488" t="str">
        <f t="shared" si="38"/>
        <v>not selected</v>
      </c>
      <c r="O488">
        <v>70.247933884297524</v>
      </c>
      <c r="P488">
        <v>25</v>
      </c>
      <c r="Q488">
        <v>360</v>
      </c>
      <c r="R488">
        <v>0</v>
      </c>
      <c r="S488">
        <v>4.8226717005847206</v>
      </c>
      <c r="T488" t="str">
        <f t="shared" si="39"/>
        <v>Less than 80%</v>
      </c>
      <c r="U488">
        <v>70.247933884297524</v>
      </c>
      <c r="V488">
        <v>25</v>
      </c>
      <c r="W488">
        <v>0</v>
      </c>
    </row>
    <row r="489" spans="1:23">
      <c r="A489">
        <v>482</v>
      </c>
      <c r="B489">
        <v>26</v>
      </c>
      <c r="C489">
        <v>16.59</v>
      </c>
      <c r="D489">
        <v>79700</v>
      </c>
      <c r="E489">
        <v>108000</v>
      </c>
      <c r="F489">
        <v>0</v>
      </c>
      <c r="G489" t="s">
        <v>19</v>
      </c>
      <c r="H489">
        <v>185000</v>
      </c>
      <c r="I489">
        <v>125000</v>
      </c>
      <c r="J489">
        <v>180</v>
      </c>
      <c r="K489" t="str">
        <f t="shared" si="35"/>
        <v>10-20</v>
      </c>
      <c r="L489" s="13">
        <f t="shared" si="36"/>
        <v>67.567567567567565</v>
      </c>
      <c r="M489" t="str">
        <f t="shared" si="37"/>
        <v>selected</v>
      </c>
      <c r="N489" t="str">
        <f t="shared" si="38"/>
        <v>not selected</v>
      </c>
      <c r="O489">
        <v>67.567567567567565</v>
      </c>
      <c r="P489">
        <v>28</v>
      </c>
      <c r="Q489">
        <v>180</v>
      </c>
      <c r="R489">
        <v>0</v>
      </c>
      <c r="S489">
        <v>5.0283159956434877</v>
      </c>
      <c r="T489" t="str">
        <f t="shared" si="39"/>
        <v>Less than 80%</v>
      </c>
      <c r="U489">
        <v>67.567567567567565</v>
      </c>
      <c r="V489">
        <v>28</v>
      </c>
      <c r="W489">
        <v>0</v>
      </c>
    </row>
    <row r="490" spans="1:23">
      <c r="A490">
        <v>483</v>
      </c>
      <c r="B490">
        <v>27</v>
      </c>
      <c r="C490">
        <v>16.829999999999998</v>
      </c>
      <c r="D490">
        <v>102800</v>
      </c>
      <c r="E490">
        <v>82000</v>
      </c>
      <c r="F490">
        <v>0</v>
      </c>
      <c r="G490" t="s">
        <v>19</v>
      </c>
      <c r="H490">
        <v>465000</v>
      </c>
      <c r="I490">
        <v>215000</v>
      </c>
      <c r="J490">
        <v>180</v>
      </c>
      <c r="K490" t="str">
        <f t="shared" si="35"/>
        <v>10-20</v>
      </c>
      <c r="L490" s="13">
        <f t="shared" si="36"/>
        <v>46.236559139784944</v>
      </c>
      <c r="M490" t="str">
        <f t="shared" si="37"/>
        <v>selected</v>
      </c>
      <c r="N490" t="str">
        <f t="shared" si="38"/>
        <v>not selected</v>
      </c>
      <c r="O490">
        <v>46.236559139784944</v>
      </c>
      <c r="P490">
        <v>38</v>
      </c>
      <c r="Q490">
        <v>180</v>
      </c>
      <c r="R490">
        <v>0</v>
      </c>
      <c r="S490">
        <v>4.8510521669509696</v>
      </c>
      <c r="T490" t="str">
        <f t="shared" si="39"/>
        <v>Less than 80%</v>
      </c>
      <c r="U490">
        <v>46.236559139784944</v>
      </c>
      <c r="V490">
        <v>38</v>
      </c>
      <c r="W490">
        <v>0</v>
      </c>
    </row>
    <row r="491" spans="1:23">
      <c r="A491">
        <v>484</v>
      </c>
      <c r="B491">
        <v>42</v>
      </c>
      <c r="C491">
        <v>6.82</v>
      </c>
      <c r="D491">
        <v>82300</v>
      </c>
      <c r="E491">
        <v>160000</v>
      </c>
      <c r="F491">
        <v>0</v>
      </c>
      <c r="G491" t="s">
        <v>19</v>
      </c>
      <c r="H491">
        <v>475000</v>
      </c>
      <c r="I491">
        <v>325000</v>
      </c>
      <c r="J491">
        <v>360</v>
      </c>
      <c r="K491" t="str">
        <f t="shared" si="35"/>
        <v>0-10</v>
      </c>
      <c r="L491" s="13">
        <f t="shared" si="36"/>
        <v>68.421052631578945</v>
      </c>
      <c r="M491" t="str">
        <f t="shared" si="37"/>
        <v>not selected</v>
      </c>
      <c r="N491" t="str">
        <f t="shared" si="38"/>
        <v>not selected</v>
      </c>
      <c r="O491">
        <v>68.421052631578945</v>
      </c>
      <c r="P491">
        <v>28</v>
      </c>
      <c r="Q491">
        <v>360</v>
      </c>
      <c r="R491">
        <v>0</v>
      </c>
      <c r="S491">
        <v>4.0204332635246871</v>
      </c>
      <c r="T491" t="str">
        <f t="shared" si="39"/>
        <v>Less than 80%</v>
      </c>
      <c r="U491">
        <v>68.421052631578945</v>
      </c>
      <c r="V491">
        <v>28</v>
      </c>
      <c r="W491">
        <v>0</v>
      </c>
    </row>
    <row r="492" spans="1:23">
      <c r="A492">
        <v>485</v>
      </c>
      <c r="B492">
        <v>6</v>
      </c>
      <c r="C492">
        <v>83.46</v>
      </c>
      <c r="D492">
        <v>83300</v>
      </c>
      <c r="E492">
        <v>47000</v>
      </c>
      <c r="F492">
        <v>0</v>
      </c>
      <c r="G492" t="s">
        <v>19</v>
      </c>
      <c r="H492">
        <v>715000</v>
      </c>
      <c r="I492">
        <v>265000</v>
      </c>
      <c r="J492">
        <v>360</v>
      </c>
      <c r="K492" t="str">
        <f t="shared" si="35"/>
        <v>More than 50</v>
      </c>
      <c r="L492" s="13">
        <f t="shared" si="36"/>
        <v>37.06293706293706</v>
      </c>
      <c r="M492" t="str">
        <f t="shared" si="37"/>
        <v>not selected</v>
      </c>
      <c r="N492" t="str">
        <f t="shared" si="38"/>
        <v>not selected</v>
      </c>
      <c r="O492">
        <v>37.06293706293706</v>
      </c>
      <c r="P492">
        <v>33</v>
      </c>
      <c r="Q492">
        <v>360</v>
      </c>
      <c r="R492">
        <v>0</v>
      </c>
      <c r="S492">
        <v>4.7429860853930013</v>
      </c>
      <c r="T492" t="str">
        <f t="shared" si="39"/>
        <v>Less than 80%</v>
      </c>
      <c r="U492">
        <v>37.06293706293706</v>
      </c>
      <c r="V492">
        <v>33</v>
      </c>
      <c r="W492">
        <v>0</v>
      </c>
    </row>
    <row r="493" spans="1:23">
      <c r="A493">
        <v>486</v>
      </c>
      <c r="B493">
        <v>6</v>
      </c>
      <c r="C493">
        <v>22.09</v>
      </c>
      <c r="D493">
        <v>66100</v>
      </c>
      <c r="E493">
        <v>64000</v>
      </c>
      <c r="F493">
        <v>0</v>
      </c>
      <c r="G493" t="s">
        <v>19</v>
      </c>
      <c r="H493">
        <v>335000</v>
      </c>
      <c r="I493">
        <v>265000</v>
      </c>
      <c r="J493">
        <v>360</v>
      </c>
      <c r="K493" t="str">
        <f t="shared" si="35"/>
        <v>20-30</v>
      </c>
      <c r="L493" s="13">
        <f t="shared" si="36"/>
        <v>79.104477611940297</v>
      </c>
      <c r="M493" t="str">
        <f t="shared" si="37"/>
        <v>not selected</v>
      </c>
      <c r="N493" t="str">
        <f t="shared" si="38"/>
        <v>not selected</v>
      </c>
      <c r="O493">
        <v>79.104477611940297</v>
      </c>
      <c r="P493">
        <v>35</v>
      </c>
      <c r="Q493">
        <v>360</v>
      </c>
      <c r="R493">
        <v>0</v>
      </c>
      <c r="S493">
        <v>4.0847509149643759</v>
      </c>
      <c r="T493" t="str">
        <f t="shared" si="39"/>
        <v>Less than 80%</v>
      </c>
      <c r="U493">
        <v>79.104477611940297</v>
      </c>
      <c r="V493">
        <v>35</v>
      </c>
      <c r="W493">
        <v>0</v>
      </c>
    </row>
    <row r="494" spans="1:23">
      <c r="A494">
        <v>487</v>
      </c>
      <c r="B494">
        <v>22</v>
      </c>
      <c r="C494">
        <v>31.96</v>
      </c>
      <c r="D494">
        <v>54400</v>
      </c>
      <c r="E494">
        <v>62000</v>
      </c>
      <c r="F494">
        <v>0</v>
      </c>
      <c r="G494" t="s">
        <v>19</v>
      </c>
      <c r="H494">
        <v>355000</v>
      </c>
      <c r="I494">
        <v>285000</v>
      </c>
      <c r="J494">
        <v>360</v>
      </c>
      <c r="K494" t="str">
        <f t="shared" si="35"/>
        <v>30-40</v>
      </c>
      <c r="L494" s="13">
        <f t="shared" si="36"/>
        <v>80.281690140845072</v>
      </c>
      <c r="M494" t="str">
        <f t="shared" si="37"/>
        <v>not selected</v>
      </c>
      <c r="N494" t="str">
        <f t="shared" si="38"/>
        <v>not selected</v>
      </c>
      <c r="O494">
        <v>80.281690140845072</v>
      </c>
      <c r="P494">
        <v>14</v>
      </c>
      <c r="Q494">
        <v>360</v>
      </c>
      <c r="R494">
        <v>0</v>
      </c>
      <c r="S494">
        <v>5.050491715197472</v>
      </c>
      <c r="T494" t="str">
        <f t="shared" si="39"/>
        <v>More than 80%</v>
      </c>
      <c r="U494">
        <v>80.281690140845072</v>
      </c>
      <c r="V494">
        <v>14</v>
      </c>
      <c r="W494">
        <v>0</v>
      </c>
    </row>
    <row r="495" spans="1:23">
      <c r="A495">
        <v>488</v>
      </c>
      <c r="B495">
        <v>51</v>
      </c>
      <c r="C495">
        <v>27.59</v>
      </c>
      <c r="D495">
        <v>89400</v>
      </c>
      <c r="E495">
        <v>90000</v>
      </c>
      <c r="F495">
        <v>0</v>
      </c>
      <c r="G495" t="s">
        <v>19</v>
      </c>
      <c r="H495">
        <v>225000</v>
      </c>
      <c r="I495">
        <v>165000</v>
      </c>
      <c r="J495">
        <v>360</v>
      </c>
      <c r="K495" t="str">
        <f t="shared" si="35"/>
        <v>20-30</v>
      </c>
      <c r="L495" s="13">
        <f t="shared" si="36"/>
        <v>73.333333333333329</v>
      </c>
      <c r="M495" t="str">
        <f t="shared" si="37"/>
        <v>not selected</v>
      </c>
      <c r="N495" t="str">
        <f t="shared" si="38"/>
        <v>not selected</v>
      </c>
      <c r="O495">
        <v>73.333333333333329</v>
      </c>
      <c r="P495">
        <v>2</v>
      </c>
      <c r="Q495">
        <v>360</v>
      </c>
      <c r="R495">
        <v>0</v>
      </c>
      <c r="S495">
        <v>3.9014192232399307</v>
      </c>
      <c r="T495" t="str">
        <f t="shared" si="39"/>
        <v>Less than 80%</v>
      </c>
      <c r="U495">
        <v>73.333333333333329</v>
      </c>
      <c r="V495">
        <v>2</v>
      </c>
      <c r="W495">
        <v>0</v>
      </c>
    </row>
    <row r="496" spans="1:23">
      <c r="A496">
        <v>489</v>
      </c>
      <c r="B496">
        <v>53</v>
      </c>
      <c r="C496">
        <v>8.57</v>
      </c>
      <c r="D496">
        <v>106900</v>
      </c>
      <c r="E496">
        <v>142000</v>
      </c>
      <c r="F496">
        <v>0</v>
      </c>
      <c r="G496" t="s">
        <v>19</v>
      </c>
      <c r="H496">
        <v>605000</v>
      </c>
      <c r="I496">
        <v>365000</v>
      </c>
      <c r="J496">
        <v>360</v>
      </c>
      <c r="K496" t="str">
        <f t="shared" si="35"/>
        <v>0-10</v>
      </c>
      <c r="L496" s="13">
        <f t="shared" si="36"/>
        <v>60.330578512396691</v>
      </c>
      <c r="M496" t="str">
        <f t="shared" si="37"/>
        <v>not selected</v>
      </c>
      <c r="N496" t="str">
        <f t="shared" si="38"/>
        <v>not selected</v>
      </c>
      <c r="O496">
        <v>60.330578512396691</v>
      </c>
      <c r="P496">
        <v>2</v>
      </c>
      <c r="Q496">
        <v>360</v>
      </c>
      <c r="R496">
        <v>0</v>
      </c>
      <c r="S496">
        <v>3.7498256596935065</v>
      </c>
      <c r="T496" t="str">
        <f t="shared" si="39"/>
        <v>Less than 80%</v>
      </c>
      <c r="U496">
        <v>60.330578512396691</v>
      </c>
      <c r="V496">
        <v>2</v>
      </c>
      <c r="W496">
        <v>0</v>
      </c>
    </row>
    <row r="497" spans="1:23">
      <c r="A497">
        <v>490</v>
      </c>
      <c r="B497">
        <v>26</v>
      </c>
      <c r="C497">
        <v>40.65</v>
      </c>
      <c r="D497">
        <v>101500</v>
      </c>
      <c r="E497">
        <v>75000</v>
      </c>
      <c r="F497">
        <v>0</v>
      </c>
      <c r="G497" t="s">
        <v>19</v>
      </c>
      <c r="H497">
        <v>265000</v>
      </c>
      <c r="I497">
        <v>245000</v>
      </c>
      <c r="J497">
        <v>360</v>
      </c>
      <c r="K497" t="str">
        <f t="shared" si="35"/>
        <v>40-50</v>
      </c>
      <c r="L497" s="13">
        <f t="shared" si="36"/>
        <v>92.452830188679243</v>
      </c>
      <c r="M497" t="str">
        <f t="shared" si="37"/>
        <v>not selected</v>
      </c>
      <c r="N497" t="str">
        <f t="shared" si="38"/>
        <v>not selected</v>
      </c>
      <c r="O497">
        <v>92.452830188679243</v>
      </c>
      <c r="P497">
        <v>3</v>
      </c>
      <c r="Q497">
        <v>360</v>
      </c>
      <c r="R497">
        <v>0</v>
      </c>
      <c r="S497">
        <v>3.938101633633055</v>
      </c>
      <c r="T497" t="str">
        <f t="shared" si="39"/>
        <v>More than 80%</v>
      </c>
      <c r="U497">
        <v>92.452830188679243</v>
      </c>
      <c r="V497">
        <v>3</v>
      </c>
      <c r="W497">
        <v>0</v>
      </c>
    </row>
    <row r="498" spans="1:23">
      <c r="A498">
        <v>491</v>
      </c>
      <c r="B498">
        <v>6</v>
      </c>
      <c r="C498">
        <v>17.59</v>
      </c>
      <c r="D498">
        <v>92700</v>
      </c>
      <c r="E498">
        <v>97000</v>
      </c>
      <c r="F498">
        <v>0</v>
      </c>
      <c r="G498" t="s">
        <v>19</v>
      </c>
      <c r="H498">
        <v>765000</v>
      </c>
      <c r="I498">
        <v>605000</v>
      </c>
      <c r="J498">
        <v>360</v>
      </c>
      <c r="K498" t="str">
        <f t="shared" si="35"/>
        <v>10-20</v>
      </c>
      <c r="L498" s="13">
        <f t="shared" si="36"/>
        <v>79.084967320261441</v>
      </c>
      <c r="M498" t="str">
        <f t="shared" si="37"/>
        <v>not selected</v>
      </c>
      <c r="N498" t="str">
        <f t="shared" si="38"/>
        <v>not selected</v>
      </c>
      <c r="O498">
        <v>79.084967320261441</v>
      </c>
      <c r="P498">
        <v>3</v>
      </c>
      <c r="Q498">
        <v>360</v>
      </c>
      <c r="R498">
        <v>0</v>
      </c>
      <c r="S498">
        <v>4.9592539205400961</v>
      </c>
      <c r="T498" t="str">
        <f t="shared" si="39"/>
        <v>Less than 80%</v>
      </c>
      <c r="U498">
        <v>79.084967320261441</v>
      </c>
      <c r="V498">
        <v>3</v>
      </c>
      <c r="W498">
        <v>0</v>
      </c>
    </row>
    <row r="499" spans="1:23">
      <c r="A499">
        <v>492</v>
      </c>
      <c r="B499">
        <v>37</v>
      </c>
      <c r="C499">
        <v>25.24</v>
      </c>
      <c r="D499">
        <v>94100</v>
      </c>
      <c r="E499">
        <v>95000</v>
      </c>
      <c r="F499">
        <v>1</v>
      </c>
      <c r="G499" t="s">
        <v>19</v>
      </c>
      <c r="H499">
        <v>405000</v>
      </c>
      <c r="I499">
        <v>345000</v>
      </c>
      <c r="J499">
        <v>360</v>
      </c>
      <c r="K499" t="str">
        <f t="shared" si="35"/>
        <v>20-30</v>
      </c>
      <c r="L499" s="13">
        <f t="shared" si="36"/>
        <v>85.18518518518519</v>
      </c>
      <c r="M499" t="str">
        <f t="shared" si="37"/>
        <v>not selected</v>
      </c>
      <c r="N499" t="str">
        <f t="shared" si="38"/>
        <v>not selected</v>
      </c>
      <c r="O499">
        <v>85.18518518518519</v>
      </c>
      <c r="P499">
        <v>3</v>
      </c>
      <c r="Q499">
        <v>360</v>
      </c>
      <c r="R499">
        <v>1</v>
      </c>
      <c r="S499">
        <v>4.0337143459857243</v>
      </c>
      <c r="T499" t="str">
        <f t="shared" si="39"/>
        <v>More than 80%</v>
      </c>
      <c r="U499">
        <v>85.18518518518519</v>
      </c>
      <c r="V499">
        <v>3</v>
      </c>
      <c r="W499">
        <v>1</v>
      </c>
    </row>
    <row r="500" spans="1:23">
      <c r="A500">
        <v>493</v>
      </c>
      <c r="B500">
        <v>6</v>
      </c>
      <c r="C500">
        <v>44.8</v>
      </c>
      <c r="D500">
        <v>102700</v>
      </c>
      <c r="E500">
        <v>70000</v>
      </c>
      <c r="F500">
        <v>0</v>
      </c>
      <c r="G500" t="s">
        <v>19</v>
      </c>
      <c r="H500">
        <v>655000</v>
      </c>
      <c r="I500">
        <v>145000</v>
      </c>
      <c r="J500">
        <v>120</v>
      </c>
      <c r="K500" t="str">
        <f t="shared" si="35"/>
        <v>40-50</v>
      </c>
      <c r="L500" s="13">
        <f t="shared" si="36"/>
        <v>22.137404580152673</v>
      </c>
      <c r="M500" t="str">
        <f t="shared" si="37"/>
        <v>selected</v>
      </c>
      <c r="N500" t="str">
        <f t="shared" si="38"/>
        <v>not selected</v>
      </c>
      <c r="O500">
        <v>22.137404580152673</v>
      </c>
      <c r="P500">
        <v>57</v>
      </c>
      <c r="Q500">
        <v>120</v>
      </c>
      <c r="R500">
        <v>0</v>
      </c>
      <c r="S500">
        <v>5.1849386294749316</v>
      </c>
      <c r="T500" t="str">
        <f t="shared" si="39"/>
        <v>Less than 80%</v>
      </c>
      <c r="U500">
        <v>22.137404580152673</v>
      </c>
      <c r="V500">
        <v>57</v>
      </c>
      <c r="W500">
        <v>0</v>
      </c>
    </row>
    <row r="501" spans="1:23">
      <c r="A501">
        <v>494</v>
      </c>
      <c r="B501">
        <v>4</v>
      </c>
      <c r="C501">
        <v>17.66</v>
      </c>
      <c r="D501">
        <v>77800</v>
      </c>
      <c r="E501">
        <v>104000</v>
      </c>
      <c r="F501">
        <v>0</v>
      </c>
      <c r="G501" t="s">
        <v>19</v>
      </c>
      <c r="H501">
        <v>475000</v>
      </c>
      <c r="I501">
        <v>205000</v>
      </c>
      <c r="J501">
        <v>180</v>
      </c>
      <c r="K501" t="str">
        <f t="shared" si="35"/>
        <v>10-20</v>
      </c>
      <c r="L501" s="13">
        <f t="shared" si="36"/>
        <v>43.15789473684211</v>
      </c>
      <c r="M501" t="str">
        <f t="shared" si="37"/>
        <v>selected</v>
      </c>
      <c r="N501" t="str">
        <f t="shared" si="38"/>
        <v>not selected</v>
      </c>
      <c r="O501">
        <v>43.15789473684211</v>
      </c>
      <c r="P501">
        <v>4</v>
      </c>
      <c r="Q501">
        <v>180</v>
      </c>
      <c r="R501">
        <v>0</v>
      </c>
      <c r="S501">
        <v>3.9799437311209429</v>
      </c>
      <c r="T501" t="str">
        <f t="shared" si="39"/>
        <v>Less than 80%</v>
      </c>
      <c r="U501">
        <v>43.15789473684211</v>
      </c>
      <c r="V501">
        <v>4</v>
      </c>
      <c r="W501">
        <v>0</v>
      </c>
    </row>
    <row r="502" spans="1:23">
      <c r="A502">
        <v>495</v>
      </c>
      <c r="B502">
        <v>8</v>
      </c>
      <c r="C502">
        <v>21.49</v>
      </c>
      <c r="D502">
        <v>100000</v>
      </c>
      <c r="E502">
        <v>172000</v>
      </c>
      <c r="F502">
        <v>0</v>
      </c>
      <c r="G502" t="s">
        <v>19</v>
      </c>
      <c r="H502">
        <v>535000</v>
      </c>
      <c r="I502">
        <v>375000</v>
      </c>
      <c r="J502">
        <v>360</v>
      </c>
      <c r="K502" t="str">
        <f t="shared" si="35"/>
        <v>20-30</v>
      </c>
      <c r="L502" s="13">
        <f t="shared" si="36"/>
        <v>70.09345794392523</v>
      </c>
      <c r="M502" t="str">
        <f t="shared" si="37"/>
        <v>not selected</v>
      </c>
      <c r="N502" t="str">
        <f t="shared" si="38"/>
        <v>not selected</v>
      </c>
      <c r="O502">
        <v>70.09345794392523</v>
      </c>
      <c r="P502">
        <v>3</v>
      </c>
      <c r="Q502">
        <v>360</v>
      </c>
      <c r="R502">
        <v>0</v>
      </c>
      <c r="S502">
        <v>4.8881900009151051</v>
      </c>
      <c r="T502" t="str">
        <f t="shared" si="39"/>
        <v>Less than 80%</v>
      </c>
      <c r="U502">
        <v>70.09345794392523</v>
      </c>
      <c r="V502">
        <v>3</v>
      </c>
      <c r="W502">
        <v>0</v>
      </c>
    </row>
    <row r="503" spans="1:23">
      <c r="A503">
        <v>496</v>
      </c>
      <c r="B503">
        <v>37</v>
      </c>
      <c r="C503">
        <v>40.28</v>
      </c>
      <c r="D503">
        <v>80100</v>
      </c>
      <c r="E503">
        <v>275000</v>
      </c>
      <c r="F503">
        <v>0</v>
      </c>
      <c r="G503" t="s">
        <v>19</v>
      </c>
      <c r="H503">
        <v>755000</v>
      </c>
      <c r="I503">
        <v>505000</v>
      </c>
      <c r="J503">
        <v>360</v>
      </c>
      <c r="K503" t="str">
        <f t="shared" si="35"/>
        <v>40-50</v>
      </c>
      <c r="L503" s="13">
        <f t="shared" si="36"/>
        <v>66.88741721854305</v>
      </c>
      <c r="M503" t="str">
        <f t="shared" si="37"/>
        <v>not selected</v>
      </c>
      <c r="N503" t="str">
        <f t="shared" si="38"/>
        <v>selected</v>
      </c>
      <c r="O503">
        <v>66.88741721854305</v>
      </c>
      <c r="P503">
        <v>4</v>
      </c>
      <c r="Q503">
        <v>360</v>
      </c>
      <c r="R503">
        <v>0</v>
      </c>
      <c r="S503">
        <v>4.0463461616887564</v>
      </c>
      <c r="T503" t="str">
        <f t="shared" si="39"/>
        <v>Less than 80%</v>
      </c>
      <c r="U503">
        <v>66.88741721854305</v>
      </c>
      <c r="V503">
        <v>4</v>
      </c>
      <c r="W503">
        <v>0</v>
      </c>
    </row>
    <row r="504" spans="1:23">
      <c r="A504">
        <v>497</v>
      </c>
      <c r="B504">
        <v>8</v>
      </c>
      <c r="C504">
        <v>14.48</v>
      </c>
      <c r="D504">
        <v>100000</v>
      </c>
      <c r="E504">
        <v>79000</v>
      </c>
      <c r="F504">
        <v>0</v>
      </c>
      <c r="G504" t="s">
        <v>19</v>
      </c>
      <c r="H504">
        <v>425000</v>
      </c>
      <c r="I504">
        <v>315000</v>
      </c>
      <c r="J504">
        <v>360</v>
      </c>
      <c r="K504" t="str">
        <f t="shared" si="35"/>
        <v>10-20</v>
      </c>
      <c r="L504" s="13">
        <f t="shared" si="36"/>
        <v>74.117647058823536</v>
      </c>
      <c r="M504" t="str">
        <f t="shared" si="37"/>
        <v>not selected</v>
      </c>
      <c r="N504" t="str">
        <f t="shared" si="38"/>
        <v>not selected</v>
      </c>
      <c r="O504">
        <v>74.117647058823536</v>
      </c>
      <c r="P504">
        <v>35</v>
      </c>
      <c r="Q504">
        <v>360</v>
      </c>
      <c r="R504">
        <v>0</v>
      </c>
      <c r="S504">
        <v>4.3341557965316921</v>
      </c>
      <c r="T504" t="str">
        <f t="shared" si="39"/>
        <v>Less than 80%</v>
      </c>
      <c r="U504">
        <v>74.117647058823536</v>
      </c>
      <c r="V504">
        <v>35</v>
      </c>
      <c r="W504">
        <v>0</v>
      </c>
    </row>
    <row r="505" spans="1:23">
      <c r="A505">
        <v>498</v>
      </c>
      <c r="B505">
        <v>17</v>
      </c>
      <c r="C505">
        <v>10.96</v>
      </c>
      <c r="D505">
        <v>69300</v>
      </c>
      <c r="E505">
        <v>187000</v>
      </c>
      <c r="F505">
        <v>0</v>
      </c>
      <c r="G505" t="s">
        <v>19</v>
      </c>
      <c r="H505">
        <v>325000</v>
      </c>
      <c r="I505">
        <v>145000</v>
      </c>
      <c r="J505">
        <v>180</v>
      </c>
      <c r="K505" t="str">
        <f t="shared" si="35"/>
        <v>10-20</v>
      </c>
      <c r="L505" s="13">
        <f t="shared" si="36"/>
        <v>44.61538461538462</v>
      </c>
      <c r="M505" t="str">
        <f t="shared" si="37"/>
        <v>selected</v>
      </c>
      <c r="N505" t="str">
        <f t="shared" si="38"/>
        <v>not selected</v>
      </c>
      <c r="O505">
        <v>44.61538461538462</v>
      </c>
      <c r="P505">
        <v>39</v>
      </c>
      <c r="Q505">
        <v>180</v>
      </c>
      <c r="R505">
        <v>0</v>
      </c>
      <c r="S505">
        <v>4.8127703494082237</v>
      </c>
      <c r="T505" t="str">
        <f t="shared" si="39"/>
        <v>Less than 80%</v>
      </c>
      <c r="U505">
        <v>44.61538461538462</v>
      </c>
      <c r="V505">
        <v>39</v>
      </c>
      <c r="W505">
        <v>0</v>
      </c>
    </row>
    <row r="506" spans="1:23">
      <c r="A506">
        <v>499</v>
      </c>
      <c r="B506">
        <v>26</v>
      </c>
      <c r="C506">
        <v>33.82</v>
      </c>
      <c r="D506">
        <v>79700</v>
      </c>
      <c r="E506">
        <v>109000</v>
      </c>
      <c r="F506">
        <v>0</v>
      </c>
      <c r="G506" t="s">
        <v>19</v>
      </c>
      <c r="H506">
        <v>525000</v>
      </c>
      <c r="I506">
        <v>385000</v>
      </c>
      <c r="J506">
        <v>360</v>
      </c>
      <c r="K506" t="str">
        <f t="shared" si="35"/>
        <v>30-40</v>
      </c>
      <c r="L506" s="13">
        <f t="shared" si="36"/>
        <v>73.333333333333329</v>
      </c>
      <c r="M506" t="str">
        <f t="shared" si="37"/>
        <v>not selected</v>
      </c>
      <c r="N506" t="str">
        <f t="shared" si="38"/>
        <v>not selected</v>
      </c>
      <c r="O506">
        <v>73.333333333333329</v>
      </c>
      <c r="P506">
        <v>40</v>
      </c>
      <c r="Q506">
        <v>360</v>
      </c>
      <c r="R506">
        <v>0</v>
      </c>
      <c r="S506">
        <v>5.7398283216251444</v>
      </c>
      <c r="T506" t="str">
        <f t="shared" si="39"/>
        <v>Less than 80%</v>
      </c>
      <c r="U506">
        <v>73.333333333333329</v>
      </c>
      <c r="V506">
        <v>40</v>
      </c>
      <c r="W506">
        <v>0</v>
      </c>
    </row>
    <row r="507" spans="1:23" ht="14.4" customHeight="1">
      <c r="A507">
        <v>500</v>
      </c>
      <c r="B507">
        <v>34</v>
      </c>
      <c r="C507">
        <v>22.55</v>
      </c>
      <c r="D507">
        <v>96600</v>
      </c>
      <c r="E507">
        <v>60000</v>
      </c>
      <c r="F507">
        <v>1</v>
      </c>
      <c r="G507" t="s">
        <v>19</v>
      </c>
      <c r="H507">
        <v>375000</v>
      </c>
      <c r="I507">
        <v>305000</v>
      </c>
      <c r="J507">
        <v>360</v>
      </c>
      <c r="K507" t="str">
        <f t="shared" si="35"/>
        <v>20-30</v>
      </c>
      <c r="L507" s="13">
        <f t="shared" si="36"/>
        <v>81.333333333333329</v>
      </c>
      <c r="M507" t="str">
        <f t="shared" si="37"/>
        <v>not selected</v>
      </c>
      <c r="N507" t="str">
        <f t="shared" si="38"/>
        <v>not selected</v>
      </c>
      <c r="O507">
        <v>81.333333333333329</v>
      </c>
      <c r="P507">
        <v>28</v>
      </c>
      <c r="Q507">
        <v>360</v>
      </c>
      <c r="R507">
        <v>1</v>
      </c>
      <c r="S507">
        <v>4.7882538219460731</v>
      </c>
      <c r="T507" t="str">
        <f t="shared" si="39"/>
        <v>More than 80%</v>
      </c>
      <c r="U507">
        <v>81.333333333333329</v>
      </c>
      <c r="V507">
        <v>28</v>
      </c>
      <c r="W50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0A624-5F9D-4249-8125-2EA41A4025CB}">
  <dimension ref="A3:F34"/>
  <sheetViews>
    <sheetView zoomScale="79" zoomScaleNormal="103" workbookViewId="0">
      <selection activeCell="H21" sqref="H21"/>
    </sheetView>
  </sheetViews>
  <sheetFormatPr defaultRowHeight="14.4"/>
  <cols>
    <col min="1" max="1" width="14.33203125" bestFit="1" customWidth="1"/>
    <col min="2" max="2" width="27.44140625" bestFit="1" customWidth="1"/>
    <col min="3" max="3" width="27.5546875" bestFit="1" customWidth="1"/>
    <col min="5" max="6" width="26.5546875" bestFit="1" customWidth="1"/>
    <col min="7" max="7" width="16.88671875" bestFit="1" customWidth="1"/>
    <col min="8" max="8" width="26.77734375" bestFit="1" customWidth="1"/>
  </cols>
  <sheetData>
    <row r="3" spans="1:6">
      <c r="A3" s="10" t="s">
        <v>21</v>
      </c>
      <c r="B3" t="s">
        <v>28</v>
      </c>
      <c r="E3" s="10" t="s">
        <v>84</v>
      </c>
      <c r="F3" t="s">
        <v>28</v>
      </c>
    </row>
    <row r="4" spans="1:6">
      <c r="A4" s="11" t="s">
        <v>22</v>
      </c>
      <c r="B4">
        <v>116</v>
      </c>
      <c r="E4" s="11" t="s">
        <v>32</v>
      </c>
      <c r="F4">
        <v>424</v>
      </c>
    </row>
    <row r="5" spans="1:6">
      <c r="A5" s="11" t="s">
        <v>23</v>
      </c>
      <c r="B5">
        <v>136</v>
      </c>
      <c r="E5" s="11" t="s">
        <v>34</v>
      </c>
      <c r="F5">
        <v>76</v>
      </c>
    </row>
    <row r="6" spans="1:6">
      <c r="A6" s="11" t="s">
        <v>24</v>
      </c>
      <c r="B6">
        <v>69</v>
      </c>
      <c r="E6" s="11" t="s">
        <v>27</v>
      </c>
      <c r="F6">
        <v>500</v>
      </c>
    </row>
    <row r="7" spans="1:6">
      <c r="A7" s="11" t="s">
        <v>25</v>
      </c>
      <c r="B7">
        <v>56</v>
      </c>
    </row>
    <row r="8" spans="1:6">
      <c r="A8" s="11" t="s">
        <v>26</v>
      </c>
      <c r="B8">
        <v>38</v>
      </c>
    </row>
    <row r="9" spans="1:6">
      <c r="A9" s="11" t="s">
        <v>29</v>
      </c>
      <c r="B9">
        <v>85</v>
      </c>
      <c r="E9" s="10" t="s">
        <v>85</v>
      </c>
      <c r="F9" t="s">
        <v>28</v>
      </c>
    </row>
    <row r="10" spans="1:6">
      <c r="A10" s="11" t="s">
        <v>27</v>
      </c>
      <c r="B10">
        <v>500</v>
      </c>
      <c r="E10" s="11" t="s">
        <v>32</v>
      </c>
      <c r="F10">
        <v>459</v>
      </c>
    </row>
    <row r="11" spans="1:6">
      <c r="E11" s="11" t="s">
        <v>34</v>
      </c>
      <c r="F11">
        <v>41</v>
      </c>
    </row>
    <row r="12" spans="1:6">
      <c r="A12" s="10" t="s">
        <v>21</v>
      </c>
      <c r="B12" t="s">
        <v>28</v>
      </c>
      <c r="E12" s="11" t="s">
        <v>27</v>
      </c>
      <c r="F12">
        <v>500</v>
      </c>
    </row>
    <row r="13" spans="1:6">
      <c r="A13" s="11" t="s">
        <v>29</v>
      </c>
      <c r="B13">
        <v>85</v>
      </c>
    </row>
    <row r="14" spans="1:6">
      <c r="A14" s="12">
        <v>6</v>
      </c>
      <c r="B14">
        <v>45</v>
      </c>
      <c r="E14" s="10" t="s">
        <v>21</v>
      </c>
      <c r="F14" t="s">
        <v>28</v>
      </c>
    </row>
    <row r="15" spans="1:6">
      <c r="A15" s="12">
        <v>8</v>
      </c>
      <c r="B15">
        <v>2</v>
      </c>
      <c r="E15" s="11" t="s">
        <v>100</v>
      </c>
      <c r="F15" s="45">
        <v>0.74199999999999999</v>
      </c>
    </row>
    <row r="16" spans="1:6">
      <c r="A16" s="12">
        <v>12</v>
      </c>
      <c r="B16">
        <v>4</v>
      </c>
      <c r="E16" s="11" t="s">
        <v>101</v>
      </c>
      <c r="F16" s="45">
        <v>0.25800000000000001</v>
      </c>
    </row>
    <row r="17" spans="1:6">
      <c r="A17" s="12">
        <v>13</v>
      </c>
      <c r="B17">
        <v>2</v>
      </c>
      <c r="E17" s="11" t="s">
        <v>27</v>
      </c>
      <c r="F17" s="45">
        <v>1</v>
      </c>
    </row>
    <row r="18" spans="1:6">
      <c r="A18" s="12">
        <v>15</v>
      </c>
      <c r="B18">
        <v>1</v>
      </c>
    </row>
    <row r="19" spans="1:6">
      <c r="A19" s="12">
        <v>17</v>
      </c>
      <c r="B19">
        <v>1</v>
      </c>
      <c r="E19" t="s">
        <v>28</v>
      </c>
    </row>
    <row r="20" spans="1:6">
      <c r="A20" s="12">
        <v>18</v>
      </c>
      <c r="B20">
        <v>1</v>
      </c>
      <c r="E20">
        <v>500</v>
      </c>
    </row>
    <row r="21" spans="1:6">
      <c r="A21" s="12">
        <v>21</v>
      </c>
      <c r="B21">
        <v>1</v>
      </c>
    </row>
    <row r="22" spans="1:6">
      <c r="A22" s="12">
        <v>22</v>
      </c>
      <c r="B22">
        <v>1</v>
      </c>
    </row>
    <row r="23" spans="1:6">
      <c r="A23" s="12">
        <v>24</v>
      </c>
      <c r="B23">
        <v>5</v>
      </c>
    </row>
    <row r="24" spans="1:6">
      <c r="A24" s="12">
        <v>27</v>
      </c>
      <c r="B24">
        <v>1</v>
      </c>
    </row>
    <row r="25" spans="1:6">
      <c r="A25" s="12">
        <v>32</v>
      </c>
      <c r="B25">
        <v>4</v>
      </c>
    </row>
    <row r="26" spans="1:6">
      <c r="A26" s="12">
        <v>34</v>
      </c>
      <c r="B26">
        <v>3</v>
      </c>
    </row>
    <row r="27" spans="1:6">
      <c r="A27" s="12">
        <v>35</v>
      </c>
      <c r="B27">
        <v>1</v>
      </c>
    </row>
    <row r="28" spans="1:6">
      <c r="A28" s="12">
        <v>36</v>
      </c>
      <c r="B28">
        <v>2</v>
      </c>
    </row>
    <row r="29" spans="1:6">
      <c r="A29" s="12">
        <v>39</v>
      </c>
      <c r="B29">
        <v>1</v>
      </c>
    </row>
    <row r="30" spans="1:6">
      <c r="A30" s="12">
        <v>42</v>
      </c>
      <c r="B30">
        <v>1</v>
      </c>
    </row>
    <row r="31" spans="1:6">
      <c r="A31" s="12">
        <v>45</v>
      </c>
      <c r="B31">
        <v>1</v>
      </c>
    </row>
    <row r="32" spans="1:6">
      <c r="A32" s="12">
        <v>48</v>
      </c>
      <c r="B32">
        <v>6</v>
      </c>
    </row>
    <row r="33" spans="1:2">
      <c r="A33" s="12">
        <v>51</v>
      </c>
      <c r="B33">
        <v>2</v>
      </c>
    </row>
    <row r="34" spans="1:2">
      <c r="A34" s="11" t="s">
        <v>27</v>
      </c>
      <c r="B34">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D262-6D91-48F8-BC66-344171D1AFBA}">
  <sheetPr>
    <pageSetUpPr autoPageBreaks="0"/>
  </sheetPr>
  <dimension ref="P22:AC49"/>
  <sheetViews>
    <sheetView showGridLines="0" zoomScale="59" zoomScaleNormal="80" workbookViewId="0">
      <selection activeCell="AD13" sqref="AD13"/>
    </sheetView>
  </sheetViews>
  <sheetFormatPr defaultRowHeight="14.4"/>
  <cols>
    <col min="1" max="16384" width="8.88671875" style="31"/>
  </cols>
  <sheetData>
    <row r="22" spans="29:29">
      <c r="AC22" s="31" t="s">
        <v>86</v>
      </c>
    </row>
    <row r="49" spans="16:26" ht="18">
      <c r="P49" s="44" t="s">
        <v>95</v>
      </c>
      <c r="Q49" s="44"/>
      <c r="R49" s="44"/>
      <c r="S49" s="44"/>
      <c r="T49" s="44"/>
      <c r="U49" s="44"/>
      <c r="V49" s="44"/>
      <c r="W49" s="44"/>
      <c r="X49" s="44"/>
      <c r="Y49" s="44"/>
      <c r="Z49" s="4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AAAC3-0EA4-43D8-908C-DC1501AC8B22}">
  <dimension ref="A1:I23"/>
  <sheetViews>
    <sheetView zoomScale="99" workbookViewId="0">
      <selection activeCell="H9" sqref="H9"/>
    </sheetView>
  </sheetViews>
  <sheetFormatPr defaultRowHeight="14.4"/>
  <cols>
    <col min="1" max="1" width="19.88671875" customWidth="1"/>
    <col min="2" max="4" width="9" bestFit="1" customWidth="1"/>
    <col min="5" max="6" width="12.109375" bestFit="1" customWidth="1"/>
    <col min="7" max="9" width="9" bestFit="1" customWidth="1"/>
  </cols>
  <sheetData>
    <row r="1" spans="1:9">
      <c r="A1" t="s">
        <v>36</v>
      </c>
    </row>
    <row r="2" spans="1:9" ht="15" thickBot="1"/>
    <row r="3" spans="1:9">
      <c r="A3" s="16" t="s">
        <v>37</v>
      </c>
      <c r="B3" s="16"/>
    </row>
    <row r="4" spans="1:9">
      <c r="A4" t="s">
        <v>38</v>
      </c>
      <c r="B4">
        <v>0.34794691054601506</v>
      </c>
    </row>
    <row r="5" spans="1:9">
      <c r="A5" t="s">
        <v>39</v>
      </c>
      <c r="B5">
        <v>0.1210670525585166</v>
      </c>
    </row>
    <row r="6" spans="1:9">
      <c r="A6" t="s">
        <v>40</v>
      </c>
      <c r="B6">
        <v>0.11930212696124455</v>
      </c>
    </row>
    <row r="7" spans="1:9">
      <c r="A7" t="s">
        <v>41</v>
      </c>
      <c r="B7">
        <v>0.60522662695291596</v>
      </c>
    </row>
    <row r="8" spans="1:9" ht="15" thickBot="1">
      <c r="A8" s="14" t="s">
        <v>42</v>
      </c>
      <c r="B8" s="14">
        <v>500</v>
      </c>
    </row>
    <row r="10" spans="1:9" ht="15" thickBot="1">
      <c r="A10" t="s">
        <v>43</v>
      </c>
    </row>
    <row r="11" spans="1:9">
      <c r="A11" s="15"/>
      <c r="B11" s="15" t="s">
        <v>48</v>
      </c>
      <c r="C11" s="15" t="s">
        <v>49</v>
      </c>
      <c r="D11" s="15" t="s">
        <v>50</v>
      </c>
      <c r="E11" s="15" t="s">
        <v>51</v>
      </c>
      <c r="F11" s="15" t="s">
        <v>52</v>
      </c>
    </row>
    <row r="12" spans="1:9">
      <c r="A12" t="s">
        <v>44</v>
      </c>
      <c r="B12">
        <v>1</v>
      </c>
      <c r="C12">
        <v>25.126709612285083</v>
      </c>
      <c r="D12">
        <v>25.126709612285083</v>
      </c>
      <c r="E12">
        <v>68.59612254796636</v>
      </c>
      <c r="F12">
        <v>1.123264517462921E-15</v>
      </c>
    </row>
    <row r="13" spans="1:9">
      <c r="A13" t="s">
        <v>45</v>
      </c>
      <c r="B13">
        <v>498</v>
      </c>
      <c r="C13">
        <v>182.41703644645645</v>
      </c>
      <c r="D13">
        <v>0.3662992699728041</v>
      </c>
    </row>
    <row r="14" spans="1:9" ht="15" thickBot="1">
      <c r="A14" s="14" t="s">
        <v>46</v>
      </c>
      <c r="B14" s="14">
        <v>499</v>
      </c>
      <c r="C14" s="14">
        <v>207.54374605874153</v>
      </c>
      <c r="D14" s="14"/>
      <c r="E14" s="14"/>
      <c r="F14" s="14"/>
    </row>
    <row r="15" spans="1:9" ht="15" thickBot="1"/>
    <row r="16" spans="1:9">
      <c r="A16" s="15"/>
      <c r="B16" s="15" t="s">
        <v>53</v>
      </c>
      <c r="C16" s="15" t="s">
        <v>41</v>
      </c>
      <c r="D16" s="15" t="s">
        <v>54</v>
      </c>
      <c r="E16" s="15" t="s">
        <v>55</v>
      </c>
      <c r="F16" s="15" t="s">
        <v>56</v>
      </c>
      <c r="G16" s="15" t="s">
        <v>57</v>
      </c>
      <c r="H16" s="15" t="s">
        <v>58</v>
      </c>
      <c r="I16" s="15" t="s">
        <v>59</v>
      </c>
    </row>
    <row r="17" spans="1:9">
      <c r="A17" t="s">
        <v>47</v>
      </c>
      <c r="B17">
        <v>4.0145016744891846</v>
      </c>
      <c r="C17">
        <v>7.659125386008897E-2</v>
      </c>
      <c r="D17">
        <v>52.414622716877943</v>
      </c>
      <c r="E17">
        <v>7.8889169905952563E-205</v>
      </c>
      <c r="F17">
        <v>3.8640198522759239</v>
      </c>
      <c r="G17">
        <v>4.1649834967024457</v>
      </c>
      <c r="H17">
        <v>3.8640198522759239</v>
      </c>
      <c r="I17">
        <v>4.1649834967024457</v>
      </c>
    </row>
    <row r="18" spans="1:9" ht="15" thickBot="1">
      <c r="A18" s="14" t="s">
        <v>35</v>
      </c>
      <c r="B18" s="14">
        <v>2.0648185969685068E-2</v>
      </c>
      <c r="C18" s="14">
        <v>2.4930564901441432E-3</v>
      </c>
      <c r="D18" s="14">
        <v>8.282277618382901</v>
      </c>
      <c r="E18" s="14">
        <v>1.123264517462921E-15</v>
      </c>
      <c r="F18" s="14">
        <v>1.5749980696759262E-2</v>
      </c>
      <c r="G18" s="14">
        <v>2.5546391242610874E-2</v>
      </c>
      <c r="H18" s="14">
        <v>1.5749980696759262E-2</v>
      </c>
      <c r="I18" s="14">
        <v>2.5546391242610874E-2</v>
      </c>
    </row>
    <row r="21" spans="1:9" ht="15" thickBot="1"/>
    <row r="22" spans="1:9" ht="21.6" thickBot="1">
      <c r="A22" s="17" t="s">
        <v>68</v>
      </c>
      <c r="B22" s="18"/>
      <c r="C22" s="18"/>
      <c r="D22" s="18"/>
      <c r="E22" s="19"/>
      <c r="F22" s="20"/>
    </row>
    <row r="23" spans="1:9" ht="18.600000000000001" thickBot="1">
      <c r="A23" s="21" t="s">
        <v>40</v>
      </c>
      <c r="B23" s="22">
        <v>0.11930212696124455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201D-11D1-42A2-9498-8A38488874C6}">
  <dimension ref="A1:I103"/>
  <sheetViews>
    <sheetView topLeftCell="A86" zoomScale="104" workbookViewId="0">
      <selection activeCell="C23" sqref="C23"/>
    </sheetView>
  </sheetViews>
  <sheetFormatPr defaultRowHeight="14.4"/>
  <cols>
    <col min="1" max="1" width="28.88671875" customWidth="1"/>
    <col min="2" max="2" width="15.6640625" customWidth="1"/>
    <col min="3" max="3" width="12" bestFit="1" customWidth="1"/>
    <col min="4" max="4" width="9.109375" bestFit="1" customWidth="1"/>
    <col min="5" max="5" width="12.109375" bestFit="1" customWidth="1"/>
    <col min="6" max="6" width="19.33203125" customWidth="1"/>
    <col min="7" max="7" width="12" bestFit="1" customWidth="1"/>
    <col min="8" max="8" width="12.6640625" bestFit="1" customWidth="1"/>
    <col min="9" max="9" width="12" bestFit="1" customWidth="1"/>
  </cols>
  <sheetData>
    <row r="1" spans="1:9">
      <c r="A1" t="s">
        <v>36</v>
      </c>
    </row>
    <row r="2" spans="1:9" ht="15" thickBot="1"/>
    <row r="3" spans="1:9">
      <c r="A3" s="16" t="s">
        <v>37</v>
      </c>
      <c r="B3" s="16"/>
    </row>
    <row r="4" spans="1:9">
      <c r="A4" t="s">
        <v>38</v>
      </c>
      <c r="B4">
        <v>0.4358089259727268</v>
      </c>
    </row>
    <row r="5" spans="1:9">
      <c r="A5" t="s">
        <v>39</v>
      </c>
      <c r="B5">
        <v>0.18992941995750168</v>
      </c>
    </row>
    <row r="6" spans="1:9">
      <c r="A6" t="s">
        <v>40</v>
      </c>
      <c r="B6">
        <v>0.186669578589121</v>
      </c>
    </row>
    <row r="7" spans="1:9">
      <c r="A7" t="s">
        <v>41</v>
      </c>
      <c r="B7">
        <v>0.58161829800604459</v>
      </c>
    </row>
    <row r="8" spans="1:9" ht="15" thickBot="1">
      <c r="A8" s="14" t="s">
        <v>42</v>
      </c>
      <c r="B8" s="14">
        <v>500</v>
      </c>
    </row>
    <row r="10" spans="1:9" ht="15" thickBot="1">
      <c r="A10" t="s">
        <v>43</v>
      </c>
    </row>
    <row r="11" spans="1:9">
      <c r="A11" s="15"/>
      <c r="B11" s="15" t="s">
        <v>48</v>
      </c>
      <c r="C11" s="15" t="s">
        <v>49</v>
      </c>
      <c r="D11" s="15" t="s">
        <v>50</v>
      </c>
      <c r="E11" s="15" t="s">
        <v>51</v>
      </c>
      <c r="F11" s="15" t="s">
        <v>52</v>
      </c>
    </row>
    <row r="12" spans="1:9">
      <c r="A12" t="s">
        <v>44</v>
      </c>
      <c r="B12">
        <v>2</v>
      </c>
      <c r="C12">
        <v>39.418663304743802</v>
      </c>
      <c r="D12">
        <v>19.709331652371901</v>
      </c>
      <c r="E12">
        <v>58.263393366246028</v>
      </c>
      <c r="F12">
        <v>1.8532357652182021E-23</v>
      </c>
    </row>
    <row r="13" spans="1:9">
      <c r="A13" t="s">
        <v>45</v>
      </c>
      <c r="B13">
        <v>497</v>
      </c>
      <c r="C13">
        <v>168.12508275399773</v>
      </c>
      <c r="D13">
        <v>0.33827984457544813</v>
      </c>
    </row>
    <row r="14" spans="1:9" ht="15" thickBot="1">
      <c r="A14" s="14" t="s">
        <v>46</v>
      </c>
      <c r="B14" s="14">
        <v>499</v>
      </c>
      <c r="C14" s="14">
        <v>207.54374605874153</v>
      </c>
      <c r="D14" s="14"/>
      <c r="E14" s="14"/>
      <c r="F14" s="14"/>
    </row>
    <row r="15" spans="1:9" ht="15" thickBot="1"/>
    <row r="16" spans="1:9">
      <c r="A16" s="15"/>
      <c r="B16" s="15" t="s">
        <v>53</v>
      </c>
      <c r="C16" s="15" t="s">
        <v>41</v>
      </c>
      <c r="D16" s="15" t="s">
        <v>54</v>
      </c>
      <c r="E16" s="15" t="s">
        <v>55</v>
      </c>
      <c r="F16" s="15" t="s">
        <v>56</v>
      </c>
      <c r="G16" s="15" t="s">
        <v>57</v>
      </c>
      <c r="H16" s="15" t="s">
        <v>58</v>
      </c>
      <c r="I16" s="15" t="s">
        <v>59</v>
      </c>
    </row>
    <row r="17" spans="1:9">
      <c r="A17" t="s">
        <v>47</v>
      </c>
      <c r="B17">
        <v>3.2597699429560545</v>
      </c>
      <c r="C17">
        <v>0.13747717087548567</v>
      </c>
      <c r="D17">
        <v>23.711354563067477</v>
      </c>
      <c r="E17">
        <v>1.0591691812771827E-83</v>
      </c>
      <c r="F17">
        <v>2.9896618620714484</v>
      </c>
      <c r="G17">
        <v>3.5298780238406606</v>
      </c>
      <c r="H17">
        <v>2.9896618620714484</v>
      </c>
      <c r="I17">
        <v>3.5298780238406606</v>
      </c>
    </row>
    <row r="18" spans="1:9">
      <c r="A18" t="s">
        <v>30</v>
      </c>
      <c r="B18">
        <v>1.032209865903265E-2</v>
      </c>
      <c r="C18">
        <v>1.5880357196013091E-3</v>
      </c>
      <c r="D18">
        <v>6.4999159223094223</v>
      </c>
      <c r="E18">
        <v>1.9577672248311753E-10</v>
      </c>
      <c r="F18">
        <v>7.202007680536953E-3</v>
      </c>
      <c r="G18">
        <v>1.3442189637528346E-2</v>
      </c>
      <c r="H18">
        <v>7.202007680536953E-3</v>
      </c>
      <c r="I18">
        <v>1.3442189637528346E-2</v>
      </c>
    </row>
    <row r="19" spans="1:9" ht="15" thickBot="1">
      <c r="A19" s="14" t="s">
        <v>35</v>
      </c>
      <c r="B19" s="14">
        <v>2.1852905930988112E-2</v>
      </c>
      <c r="C19" s="14">
        <v>2.4029673591826613E-3</v>
      </c>
      <c r="D19" s="14">
        <v>9.0941334876979347</v>
      </c>
      <c r="E19" s="14">
        <v>2.2868505546893689E-18</v>
      </c>
      <c r="F19" s="14">
        <v>1.7131679143414492E-2</v>
      </c>
      <c r="G19" s="14">
        <v>2.6574132718561731E-2</v>
      </c>
      <c r="H19" s="14">
        <v>1.7131679143414492E-2</v>
      </c>
      <c r="I19" s="14">
        <v>2.6574132718561731E-2</v>
      </c>
    </row>
    <row r="20" spans="1:9" ht="15" thickBot="1"/>
    <row r="21" spans="1:9" ht="21.6" thickBot="1">
      <c r="A21" s="17" t="s">
        <v>71</v>
      </c>
      <c r="B21" s="18"/>
      <c r="C21" s="18"/>
      <c r="D21" s="18"/>
      <c r="E21" s="19"/>
      <c r="F21" s="20"/>
    </row>
    <row r="22" spans="1:9" ht="18.600000000000001" thickBot="1">
      <c r="A22" s="21" t="s">
        <v>40</v>
      </c>
      <c r="B22" s="22">
        <v>0.186669578589121</v>
      </c>
    </row>
    <row r="26" spans="1:9">
      <c r="A26" t="s">
        <v>36</v>
      </c>
    </row>
    <row r="27" spans="1:9" ht="15" thickBot="1"/>
    <row r="28" spans="1:9">
      <c r="A28" s="16" t="s">
        <v>37</v>
      </c>
      <c r="B28" s="16"/>
    </row>
    <row r="29" spans="1:9">
      <c r="A29" t="s">
        <v>38</v>
      </c>
      <c r="B29">
        <v>0.37906959486484065</v>
      </c>
    </row>
    <row r="30" spans="1:9">
      <c r="A30" t="s">
        <v>39</v>
      </c>
      <c r="B30">
        <v>0.14369375775099444</v>
      </c>
    </row>
    <row r="31" spans="1:9">
      <c r="A31" t="s">
        <v>40</v>
      </c>
      <c r="B31">
        <v>0.140247857379771</v>
      </c>
    </row>
    <row r="32" spans="1:9">
      <c r="A32" t="s">
        <v>41</v>
      </c>
      <c r="B32">
        <v>0.59798623378339766</v>
      </c>
    </row>
    <row r="33" spans="1:9" ht="15" thickBot="1">
      <c r="A33" s="14" t="s">
        <v>42</v>
      </c>
      <c r="B33" s="14">
        <v>500</v>
      </c>
    </row>
    <row r="35" spans="1:9" ht="15" thickBot="1">
      <c r="A35" t="s">
        <v>43</v>
      </c>
    </row>
    <row r="36" spans="1:9">
      <c r="A36" s="15"/>
      <c r="B36" s="15" t="s">
        <v>48</v>
      </c>
      <c r="C36" s="15" t="s">
        <v>49</v>
      </c>
      <c r="D36" s="15" t="s">
        <v>50</v>
      </c>
      <c r="E36" s="15" t="s">
        <v>51</v>
      </c>
      <c r="F36" s="15" t="s">
        <v>52</v>
      </c>
    </row>
    <row r="37" spans="1:9">
      <c r="A37" t="s">
        <v>44</v>
      </c>
      <c r="B37">
        <v>2</v>
      </c>
      <c r="C37">
        <v>29.822740768898711</v>
      </c>
      <c r="D37">
        <v>14.911370384449356</v>
      </c>
      <c r="E37">
        <v>41.699916501062482</v>
      </c>
      <c r="F37">
        <v>1.8127328991399389E-17</v>
      </c>
    </row>
    <row r="38" spans="1:9">
      <c r="A38" t="s">
        <v>45</v>
      </c>
      <c r="B38">
        <v>497</v>
      </c>
      <c r="C38">
        <v>177.72100528984282</v>
      </c>
      <c r="D38">
        <v>0.35758753579445235</v>
      </c>
    </row>
    <row r="39" spans="1:9" ht="15" thickBot="1">
      <c r="A39" s="14" t="s">
        <v>46</v>
      </c>
      <c r="B39" s="14">
        <v>499</v>
      </c>
      <c r="C39" s="14">
        <v>207.54374605874153</v>
      </c>
      <c r="D39" s="14"/>
      <c r="E39" s="14"/>
      <c r="F39" s="14"/>
    </row>
    <row r="40" spans="1:9" ht="15" thickBot="1"/>
    <row r="41" spans="1:9">
      <c r="A41" s="15"/>
      <c r="B41" s="15" t="s">
        <v>53</v>
      </c>
      <c r="C41" s="15" t="s">
        <v>41</v>
      </c>
      <c r="D41" s="15" t="s">
        <v>54</v>
      </c>
      <c r="E41" s="15" t="s">
        <v>55</v>
      </c>
      <c r="F41" s="15" t="s">
        <v>56</v>
      </c>
      <c r="G41" s="15" t="s">
        <v>57</v>
      </c>
      <c r="H41" s="15" t="s">
        <v>58</v>
      </c>
      <c r="I41" s="15" t="s">
        <v>59</v>
      </c>
    </row>
    <row r="42" spans="1:9">
      <c r="A42" t="s">
        <v>47</v>
      </c>
      <c r="B42">
        <v>3.5780749056959507</v>
      </c>
      <c r="C42">
        <v>0.14223307685564401</v>
      </c>
      <c r="D42">
        <v>25.156419201473298</v>
      </c>
      <c r="E42">
        <v>1.1170081865228898E-90</v>
      </c>
      <c r="F42">
        <v>3.2986226651302317</v>
      </c>
      <c r="G42">
        <v>3.8575271462616696</v>
      </c>
      <c r="H42">
        <v>3.2986226651302317</v>
      </c>
      <c r="I42">
        <v>3.8575271462616696</v>
      </c>
    </row>
    <row r="43" spans="1:9">
      <c r="A43" t="s">
        <v>35</v>
      </c>
      <c r="B43">
        <v>2.0306040025789757E-2</v>
      </c>
      <c r="C43">
        <v>2.4650405332078558E-3</v>
      </c>
      <c r="D43">
        <v>8.2376089773114991</v>
      </c>
      <c r="E43">
        <v>1.5673543147618742E-15</v>
      </c>
      <c r="F43">
        <v>1.5462855055605971E-2</v>
      </c>
      <c r="G43">
        <v>2.5149224995973544E-2</v>
      </c>
      <c r="H43">
        <v>1.5462855055605971E-2</v>
      </c>
      <c r="I43">
        <v>2.5149224995973544E-2</v>
      </c>
    </row>
    <row r="44" spans="1:9" ht="15" thickBot="1">
      <c r="A44" s="14" t="s">
        <v>12</v>
      </c>
      <c r="B44" s="14">
        <v>1.3819518324814351E-3</v>
      </c>
      <c r="C44" s="14">
        <v>3.8134548380896896E-4</v>
      </c>
      <c r="D44" s="14">
        <v>3.6238840923935247</v>
      </c>
      <c r="E44" s="14">
        <v>3.2008847732565361E-4</v>
      </c>
      <c r="F44" s="14">
        <v>6.3270382185031445E-4</v>
      </c>
      <c r="G44" s="14">
        <v>2.1311998431125558E-3</v>
      </c>
      <c r="H44" s="14">
        <v>6.3270382185031445E-4</v>
      </c>
      <c r="I44" s="14">
        <v>2.1311998431125558E-3</v>
      </c>
    </row>
    <row r="46" spans="1:9" ht="15" thickBot="1"/>
    <row r="47" spans="1:9" ht="21.6" thickBot="1">
      <c r="A47" s="17" t="s">
        <v>72</v>
      </c>
      <c r="B47" s="18"/>
      <c r="C47" s="18"/>
      <c r="D47" s="18"/>
      <c r="E47" s="19"/>
      <c r="F47" s="20"/>
    </row>
    <row r="48" spans="1:9" ht="18.600000000000001" thickBot="1">
      <c r="A48" s="21" t="s">
        <v>40</v>
      </c>
      <c r="B48" s="22">
        <v>0.140247857379771</v>
      </c>
    </row>
    <row r="51" spans="1:6">
      <c r="A51" t="s">
        <v>36</v>
      </c>
    </row>
    <row r="52" spans="1:6" ht="15" thickBot="1"/>
    <row r="53" spans="1:6">
      <c r="A53" s="16" t="s">
        <v>37</v>
      </c>
      <c r="B53" s="16"/>
    </row>
    <row r="54" spans="1:6">
      <c r="A54" t="s">
        <v>38</v>
      </c>
      <c r="B54">
        <v>0.40048709995205684</v>
      </c>
    </row>
    <row r="55" spans="1:6">
      <c r="A55" t="s">
        <v>39</v>
      </c>
      <c r="B55">
        <v>0.16038991722800877</v>
      </c>
    </row>
    <row r="56" spans="1:6">
      <c r="A56" t="s">
        <v>40</v>
      </c>
      <c r="B56">
        <v>0.15701120462127999</v>
      </c>
    </row>
    <row r="57" spans="1:6">
      <c r="A57" t="s">
        <v>41</v>
      </c>
      <c r="B57">
        <v>0.59212780345812766</v>
      </c>
    </row>
    <row r="58" spans="1:6" ht="15" thickBot="1">
      <c r="A58" s="14" t="s">
        <v>42</v>
      </c>
      <c r="B58" s="14">
        <v>500</v>
      </c>
    </row>
    <row r="60" spans="1:6" ht="15" thickBot="1">
      <c r="A60" t="s">
        <v>43</v>
      </c>
    </row>
    <row r="61" spans="1:6">
      <c r="A61" s="15"/>
      <c r="B61" s="15" t="s">
        <v>48</v>
      </c>
      <c r="C61" s="15" t="s">
        <v>49</v>
      </c>
      <c r="D61" s="15" t="s">
        <v>50</v>
      </c>
      <c r="E61" s="15" t="s">
        <v>51</v>
      </c>
      <c r="F61" s="15" t="s">
        <v>52</v>
      </c>
    </row>
    <row r="62" spans="1:6">
      <c r="A62" t="s">
        <v>44</v>
      </c>
      <c r="B62">
        <v>2</v>
      </c>
      <c r="C62">
        <v>33.287924251552425</v>
      </c>
      <c r="D62">
        <v>16.643962125776213</v>
      </c>
      <c r="E62">
        <v>47.470719145691724</v>
      </c>
      <c r="F62">
        <v>1.3592359871256521E-19</v>
      </c>
    </row>
    <row r="63" spans="1:6">
      <c r="A63" t="s">
        <v>45</v>
      </c>
      <c r="B63">
        <v>497</v>
      </c>
      <c r="C63">
        <v>174.25582180718911</v>
      </c>
      <c r="D63">
        <v>0.35061533562814712</v>
      </c>
    </row>
    <row r="64" spans="1:6" ht="15" thickBot="1">
      <c r="A64" s="14" t="s">
        <v>46</v>
      </c>
      <c r="B64" s="14">
        <v>499</v>
      </c>
      <c r="C64" s="14">
        <v>207.54374605874153</v>
      </c>
      <c r="D64" s="14"/>
      <c r="E64" s="14"/>
      <c r="F64" s="14"/>
    </row>
    <row r="65" spans="1:9" ht="15" thickBot="1"/>
    <row r="66" spans="1:9">
      <c r="A66" s="15"/>
      <c r="B66" s="15" t="s">
        <v>53</v>
      </c>
      <c r="C66" s="15" t="s">
        <v>41</v>
      </c>
      <c r="D66" s="15" t="s">
        <v>54</v>
      </c>
      <c r="E66" s="15" t="s">
        <v>55</v>
      </c>
      <c r="F66" s="15" t="s">
        <v>56</v>
      </c>
      <c r="G66" s="15" t="s">
        <v>57</v>
      </c>
      <c r="H66" s="15" t="s">
        <v>58</v>
      </c>
      <c r="I66" s="15" t="s">
        <v>59</v>
      </c>
    </row>
    <row r="67" spans="1:9">
      <c r="A67" t="s">
        <v>47</v>
      </c>
      <c r="B67">
        <v>3.9735651252016297</v>
      </c>
      <c r="C67">
        <v>7.5412459297124576E-2</v>
      </c>
      <c r="D67">
        <v>52.691095904269744</v>
      </c>
      <c r="E67">
        <v>1.4389134908708561E-205</v>
      </c>
      <c r="F67">
        <v>3.8253986003465057</v>
      </c>
      <c r="G67">
        <v>4.1217316500567538</v>
      </c>
      <c r="H67">
        <v>3.8253986003465057</v>
      </c>
      <c r="I67">
        <v>4.1217316500567538</v>
      </c>
    </row>
    <row r="68" spans="1:9">
      <c r="A68" t="s">
        <v>64</v>
      </c>
      <c r="B68">
        <v>0.40514858668943804</v>
      </c>
      <c r="C68">
        <v>8.3975458209631745E-2</v>
      </c>
      <c r="D68">
        <v>4.8246070379044221</v>
      </c>
      <c r="E68">
        <v>1.8688047224163021E-6</v>
      </c>
      <c r="F68">
        <v>0.24015792159237417</v>
      </c>
      <c r="G68">
        <v>0.57013925178650193</v>
      </c>
      <c r="H68">
        <v>0.24015792159237417</v>
      </c>
      <c r="I68">
        <v>0.57013925178650193</v>
      </c>
    </row>
    <row r="69" spans="1:9" ht="15" thickBot="1">
      <c r="A69" s="14" t="s">
        <v>35</v>
      </c>
      <c r="B69" s="14">
        <v>2.0493691761992967E-2</v>
      </c>
      <c r="C69" s="14">
        <v>2.4393098605278219E-3</v>
      </c>
      <c r="D69" s="14">
        <v>8.4014302953535012</v>
      </c>
      <c r="E69" s="14">
        <v>4.6595556878090303E-16</v>
      </c>
      <c r="F69" s="14">
        <v>1.5701061095285275E-2</v>
      </c>
      <c r="G69" s="14">
        <v>2.5286322428700658E-2</v>
      </c>
      <c r="H69" s="14">
        <v>1.5701061095285275E-2</v>
      </c>
      <c r="I69" s="14">
        <v>2.5286322428700658E-2</v>
      </c>
    </row>
    <row r="71" spans="1:9" ht="15" thickBot="1"/>
    <row r="72" spans="1:9" ht="21.6" thickBot="1">
      <c r="A72" s="17" t="s">
        <v>73</v>
      </c>
      <c r="B72" s="18"/>
      <c r="C72" s="18"/>
      <c r="D72" s="18"/>
      <c r="E72" s="19"/>
      <c r="F72" s="20"/>
    </row>
    <row r="73" spans="1:9" ht="18.600000000000001" thickBot="1">
      <c r="A73" s="21" t="s">
        <v>40</v>
      </c>
      <c r="B73" s="22">
        <v>0.15701120462127999</v>
      </c>
    </row>
    <row r="75" spans="1:9">
      <c r="A75" t="s">
        <v>36</v>
      </c>
    </row>
    <row r="76" spans="1:9" ht="15" thickBot="1"/>
    <row r="77" spans="1:9">
      <c r="A77" s="16" t="s">
        <v>37</v>
      </c>
      <c r="B77" s="16"/>
    </row>
    <row r="78" spans="1:9">
      <c r="A78" t="s">
        <v>38</v>
      </c>
      <c r="B78">
        <v>0.34864474065406986</v>
      </c>
    </row>
    <row r="79" spans="1:9">
      <c r="A79" t="s">
        <v>39</v>
      </c>
      <c r="B79">
        <v>0.12155315518574364</v>
      </c>
    </row>
    <row r="80" spans="1:9">
      <c r="A80" t="s">
        <v>40</v>
      </c>
      <c r="B80">
        <v>0.118018157822306</v>
      </c>
    </row>
    <row r="81" spans="1:9">
      <c r="A81" t="s">
        <v>41</v>
      </c>
      <c r="B81">
        <v>0.60566764612104906</v>
      </c>
    </row>
    <row r="82" spans="1:9" ht="15" thickBot="1">
      <c r="A82" s="14" t="s">
        <v>42</v>
      </c>
      <c r="B82" s="14">
        <v>500</v>
      </c>
    </row>
    <row r="84" spans="1:9" ht="15" thickBot="1">
      <c r="A84" t="s">
        <v>43</v>
      </c>
    </row>
    <row r="85" spans="1:9">
      <c r="A85" s="15"/>
      <c r="B85" s="15" t="s">
        <v>48</v>
      </c>
      <c r="C85" s="15" t="s">
        <v>49</v>
      </c>
      <c r="D85" s="15" t="s">
        <v>50</v>
      </c>
      <c r="E85" s="15" t="s">
        <v>51</v>
      </c>
      <c r="F85" s="15" t="s">
        <v>52</v>
      </c>
    </row>
    <row r="86" spans="1:9">
      <c r="A86" t="s">
        <v>44</v>
      </c>
      <c r="B86">
        <v>2</v>
      </c>
      <c r="C86">
        <v>25.22759717250878</v>
      </c>
      <c r="D86">
        <v>12.61379858625439</v>
      </c>
      <c r="E86">
        <v>34.385642389146732</v>
      </c>
      <c r="F86">
        <v>1.0310947854518023E-14</v>
      </c>
    </row>
    <row r="87" spans="1:9">
      <c r="A87" t="s">
        <v>45</v>
      </c>
      <c r="B87">
        <v>497</v>
      </c>
      <c r="C87">
        <v>182.31614888623275</v>
      </c>
      <c r="D87">
        <v>0.36683329755781235</v>
      </c>
    </row>
    <row r="88" spans="1:9" ht="15" thickBot="1">
      <c r="A88" s="14" t="s">
        <v>46</v>
      </c>
      <c r="B88" s="14">
        <v>499</v>
      </c>
      <c r="C88" s="14">
        <v>207.54374605874153</v>
      </c>
      <c r="D88" s="14"/>
      <c r="E88" s="14"/>
      <c r="F88" s="14"/>
    </row>
    <row r="89" spans="1:9" ht="15" thickBot="1"/>
    <row r="90" spans="1:9">
      <c r="A90" s="15"/>
      <c r="B90" s="15" t="s">
        <v>53</v>
      </c>
      <c r="C90" s="15" t="s">
        <v>41</v>
      </c>
      <c r="D90" s="15" t="s">
        <v>54</v>
      </c>
      <c r="E90" s="15" t="s">
        <v>55</v>
      </c>
      <c r="F90" s="15" t="s">
        <v>56</v>
      </c>
      <c r="G90" s="15" t="s">
        <v>57</v>
      </c>
      <c r="H90" s="15" t="s">
        <v>58</v>
      </c>
      <c r="I90" s="15" t="s">
        <v>59</v>
      </c>
    </row>
    <row r="91" spans="1:9">
      <c r="A91" t="s">
        <v>47</v>
      </c>
      <c r="B91">
        <v>4.0324561560295589</v>
      </c>
      <c r="C91">
        <v>8.3945848378966292E-2</v>
      </c>
      <c r="D91">
        <v>48.036397676575774</v>
      </c>
      <c r="E91">
        <v>7.0529511856266549E-189</v>
      </c>
      <c r="F91">
        <v>3.8675236668062452</v>
      </c>
      <c r="G91">
        <v>4.1973886452528726</v>
      </c>
      <c r="H91">
        <v>3.8675236668062452</v>
      </c>
      <c r="I91">
        <v>4.1973886452528726</v>
      </c>
    </row>
    <row r="92" spans="1:9">
      <c r="A92" t="s">
        <v>8</v>
      </c>
      <c r="B92">
        <v>-1.3521371622837971E-7</v>
      </c>
      <c r="C92">
        <v>2.5783170128007685E-7</v>
      </c>
      <c r="D92">
        <v>-0.52442626549440507</v>
      </c>
      <c r="E92">
        <v>0.60021590419059789</v>
      </c>
      <c r="F92">
        <v>-6.417881938705652E-7</v>
      </c>
      <c r="G92">
        <v>3.7136076141380574E-7</v>
      </c>
      <c r="H92">
        <v>-6.417881938705652E-7</v>
      </c>
      <c r="I92">
        <v>3.7136076141380574E-7</v>
      </c>
    </row>
    <row r="93" spans="1:9" ht="15" thickBot="1">
      <c r="A93" s="14" t="s">
        <v>35</v>
      </c>
      <c r="B93" s="14">
        <v>2.0623909457280615E-2</v>
      </c>
      <c r="C93" s="14">
        <v>2.4953025669323088E-3</v>
      </c>
      <c r="D93" s="14">
        <v>8.2650936726424202</v>
      </c>
      <c r="E93" s="14">
        <v>1.2802932757233617E-15</v>
      </c>
      <c r="F93" s="14">
        <v>1.5721267198290818E-2</v>
      </c>
      <c r="G93" s="14">
        <v>2.5526551716270413E-2</v>
      </c>
      <c r="H93" s="14">
        <v>1.5721267198290818E-2</v>
      </c>
      <c r="I93" s="14">
        <v>2.5526551716270413E-2</v>
      </c>
    </row>
    <row r="94" spans="1:9" ht="15" thickBot="1"/>
    <row r="95" spans="1:9" ht="21.6" thickBot="1">
      <c r="A95" s="17" t="s">
        <v>74</v>
      </c>
      <c r="B95" s="18"/>
      <c r="C95" s="18"/>
      <c r="D95" s="18"/>
      <c r="E95" s="19"/>
      <c r="F95" s="20"/>
    </row>
    <row r="96" spans="1:9" ht="18.600000000000001" thickBot="1">
      <c r="A96" s="21" t="s">
        <v>40</v>
      </c>
      <c r="B96" s="22">
        <v>0.118018157822306</v>
      </c>
    </row>
    <row r="99" spans="1:6">
      <c r="A99" t="s">
        <v>69</v>
      </c>
    </row>
    <row r="100" spans="1:6">
      <c r="A100" t="s">
        <v>70</v>
      </c>
    </row>
    <row r="101" spans="1:6" ht="15" thickBot="1"/>
    <row r="102" spans="1:6" ht="21.6" thickBot="1">
      <c r="A102" s="17" t="s">
        <v>76</v>
      </c>
      <c r="B102" s="18"/>
      <c r="C102" s="18"/>
      <c r="D102" s="18"/>
      <c r="E102" s="19"/>
      <c r="F102" s="20"/>
    </row>
    <row r="103" spans="1:6" ht="18.600000000000001" thickBot="1">
      <c r="A103" s="21" t="s">
        <v>40</v>
      </c>
      <c r="B103" s="22">
        <v>0.186669578589121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AFF5E-C862-4918-AC6C-1DB9F006C1B2}">
  <dimension ref="A1:I86"/>
  <sheetViews>
    <sheetView topLeftCell="A64" zoomScale="88" workbookViewId="0">
      <selection activeCell="F6" sqref="F6"/>
    </sheetView>
  </sheetViews>
  <sheetFormatPr defaultRowHeight="14.4"/>
  <cols>
    <col min="1" max="1" width="24.44140625" customWidth="1"/>
    <col min="2" max="2" width="27.88671875" customWidth="1"/>
    <col min="3" max="3" width="14.109375" customWidth="1"/>
    <col min="4" max="4" width="9" bestFit="1" customWidth="1"/>
    <col min="5" max="5" width="14.44140625" customWidth="1"/>
    <col min="6" max="6" width="36.88671875" customWidth="1"/>
    <col min="7" max="7" width="12" bestFit="1" customWidth="1"/>
    <col min="8" max="8" width="12.6640625" bestFit="1" customWidth="1"/>
    <col min="9" max="9" width="12" bestFit="1" customWidth="1"/>
  </cols>
  <sheetData>
    <row r="1" spans="1:9">
      <c r="A1" t="s">
        <v>36</v>
      </c>
    </row>
    <row r="2" spans="1:9" ht="15" thickBot="1"/>
    <row r="3" spans="1:9">
      <c r="A3" s="16" t="s">
        <v>37</v>
      </c>
      <c r="B3" s="16"/>
    </row>
    <row r="4" spans="1:9">
      <c r="A4" t="s">
        <v>38</v>
      </c>
      <c r="B4">
        <v>0.44018349026439579</v>
      </c>
    </row>
    <row r="5" spans="1:9">
      <c r="A5" t="s">
        <v>39</v>
      </c>
      <c r="B5">
        <v>0.19376150510134543</v>
      </c>
    </row>
    <row r="6" spans="1:9">
      <c r="A6" t="s">
        <v>40</v>
      </c>
      <c r="B6">
        <v>0.18888506259187801</v>
      </c>
    </row>
    <row r="7" spans="1:9">
      <c r="A7" t="s">
        <v>41</v>
      </c>
      <c r="B7">
        <v>0.58082560373288472</v>
      </c>
    </row>
    <row r="8" spans="1:9" ht="15" thickBot="1">
      <c r="A8" s="14" t="s">
        <v>42</v>
      </c>
      <c r="B8" s="14">
        <v>500</v>
      </c>
    </row>
    <row r="10" spans="1:9" ht="15" thickBot="1">
      <c r="A10" t="s">
        <v>43</v>
      </c>
    </row>
    <row r="11" spans="1:9">
      <c r="A11" s="15"/>
      <c r="B11" s="15" t="s">
        <v>48</v>
      </c>
      <c r="C11" s="15" t="s">
        <v>49</v>
      </c>
      <c r="D11" s="15" t="s">
        <v>50</v>
      </c>
      <c r="E11" s="15" t="s">
        <v>51</v>
      </c>
      <c r="F11" s="15" t="s">
        <v>52</v>
      </c>
    </row>
    <row r="12" spans="1:9">
      <c r="A12" t="s">
        <v>44</v>
      </c>
      <c r="B12">
        <v>3</v>
      </c>
      <c r="C12">
        <v>40.213988610713187</v>
      </c>
      <c r="D12">
        <v>13.404662870237729</v>
      </c>
      <c r="E12">
        <v>39.73419244155042</v>
      </c>
      <c r="F12">
        <v>5.0177654790205801E-23</v>
      </c>
    </row>
    <row r="13" spans="1:9">
      <c r="A13" t="s">
        <v>45</v>
      </c>
      <c r="B13">
        <v>496</v>
      </c>
      <c r="C13">
        <v>167.32975744802835</v>
      </c>
      <c r="D13">
        <v>0.33735838195167006</v>
      </c>
    </row>
    <row r="14" spans="1:9" ht="15" thickBot="1">
      <c r="A14" s="14" t="s">
        <v>46</v>
      </c>
      <c r="B14" s="14">
        <v>499</v>
      </c>
      <c r="C14" s="14">
        <v>207.54374605874153</v>
      </c>
      <c r="D14" s="14"/>
      <c r="E14" s="14"/>
      <c r="F14" s="14"/>
    </row>
    <row r="15" spans="1:9" ht="15" thickBot="1"/>
    <row r="16" spans="1:9">
      <c r="A16" s="15"/>
      <c r="B16" s="15" t="s">
        <v>53</v>
      </c>
      <c r="C16" s="15" t="s">
        <v>41</v>
      </c>
      <c r="D16" s="15" t="s">
        <v>54</v>
      </c>
      <c r="E16" s="15" t="s">
        <v>55</v>
      </c>
      <c r="F16" s="15" t="s">
        <v>56</v>
      </c>
      <c r="G16" s="15" t="s">
        <v>57</v>
      </c>
      <c r="H16" s="15" t="s">
        <v>58</v>
      </c>
      <c r="I16" s="15" t="s">
        <v>59</v>
      </c>
    </row>
    <row r="17" spans="1:9">
      <c r="A17" t="s">
        <v>47</v>
      </c>
      <c r="B17">
        <v>3.1349037130310711</v>
      </c>
      <c r="C17">
        <v>0.15956838981073446</v>
      </c>
      <c r="D17">
        <v>19.646144933526053</v>
      </c>
      <c r="E17">
        <v>5.4840737425086569E-64</v>
      </c>
      <c r="F17">
        <v>2.8213903974076349</v>
      </c>
      <c r="G17">
        <v>3.4484170286545073</v>
      </c>
      <c r="H17">
        <v>2.8213903974076349</v>
      </c>
      <c r="I17">
        <v>3.4484170286545073</v>
      </c>
    </row>
    <row r="18" spans="1:9">
      <c r="A18" t="s">
        <v>30</v>
      </c>
      <c r="B18">
        <v>9.4050250270714311E-3</v>
      </c>
      <c r="C18">
        <v>1.6946181611930369E-3</v>
      </c>
      <c r="D18">
        <v>5.549937586205349</v>
      </c>
      <c r="E18">
        <v>4.660066035547327E-8</v>
      </c>
      <c r="F18">
        <v>6.0755099579435038E-3</v>
      </c>
      <c r="G18">
        <v>1.2734540096199358E-2</v>
      </c>
      <c r="H18">
        <v>6.0755099579435038E-3</v>
      </c>
      <c r="I18">
        <v>1.2734540096199358E-2</v>
      </c>
    </row>
    <row r="19" spans="1:9">
      <c r="A19" t="s">
        <v>35</v>
      </c>
      <c r="B19">
        <v>2.1595411395836591E-2</v>
      </c>
      <c r="C19">
        <v>2.4055451838316125E-3</v>
      </c>
      <c r="D19">
        <v>8.9773459841809657</v>
      </c>
      <c r="E19">
        <v>5.7538317612109819E-18</v>
      </c>
      <c r="F19">
        <v>1.6869096570202483E-2</v>
      </c>
      <c r="G19">
        <v>2.63217262214707E-2</v>
      </c>
      <c r="H19">
        <v>1.6869096570202483E-2</v>
      </c>
      <c r="I19">
        <v>2.63217262214707E-2</v>
      </c>
    </row>
    <row r="20" spans="1:9" ht="15" thickBot="1">
      <c r="A20" s="14" t="s">
        <v>12</v>
      </c>
      <c r="B20" s="14">
        <v>6.077202673390364E-4</v>
      </c>
      <c r="C20" s="14">
        <v>3.9580116859851513E-4</v>
      </c>
      <c r="D20" s="14">
        <v>1.5354180723894819</v>
      </c>
      <c r="E20" s="14">
        <v>0.12531878292140824</v>
      </c>
      <c r="F20" s="14">
        <v>-1.6993335717979316E-4</v>
      </c>
      <c r="G20" s="14">
        <v>1.3853738918578658E-3</v>
      </c>
      <c r="H20" s="14">
        <v>-1.6993335717979316E-4</v>
      </c>
      <c r="I20" s="14">
        <v>1.3853738918578658E-3</v>
      </c>
    </row>
    <row r="21" spans="1:9" ht="15" thickBot="1"/>
    <row r="22" spans="1:9" ht="21.6" thickBot="1">
      <c r="A22" s="17" t="s">
        <v>108</v>
      </c>
      <c r="B22" s="18"/>
      <c r="C22" s="18"/>
      <c r="D22" s="18"/>
      <c r="E22" s="19"/>
      <c r="F22" s="20"/>
    </row>
    <row r="23" spans="1:9" ht="18.600000000000001" thickBot="1">
      <c r="A23" s="21" t="s">
        <v>40</v>
      </c>
      <c r="B23" s="22">
        <v>0.18888506259187801</v>
      </c>
    </row>
    <row r="30" spans="1:9">
      <c r="A30" t="s">
        <v>36</v>
      </c>
    </row>
    <row r="31" spans="1:9" ht="15" thickBot="1"/>
    <row r="32" spans="1:9">
      <c r="A32" s="16" t="s">
        <v>37</v>
      </c>
      <c r="B32" s="16"/>
    </row>
    <row r="33" spans="1:9">
      <c r="A33" t="s">
        <v>38</v>
      </c>
      <c r="B33">
        <v>0.45289371046155069</v>
      </c>
    </row>
    <row r="34" spans="1:9">
      <c r="A34" t="s">
        <v>39</v>
      </c>
      <c r="B34">
        <v>0.205112712975631</v>
      </c>
    </row>
    <row r="35" spans="1:9">
      <c r="A35" t="s">
        <v>40</v>
      </c>
      <c r="B35">
        <v>0.200304926965403</v>
      </c>
    </row>
    <row r="36" spans="1:9">
      <c r="A36" t="s">
        <v>41</v>
      </c>
      <c r="B36">
        <v>0.57672232452354921</v>
      </c>
    </row>
    <row r="37" spans="1:9" ht="15" thickBot="1">
      <c r="A37" s="14" t="s">
        <v>42</v>
      </c>
      <c r="B37" s="14">
        <v>500</v>
      </c>
    </row>
    <row r="39" spans="1:9" ht="15" thickBot="1">
      <c r="A39" t="s">
        <v>43</v>
      </c>
    </row>
    <row r="40" spans="1:9">
      <c r="A40" s="15"/>
      <c r="B40" s="15" t="s">
        <v>48</v>
      </c>
      <c r="C40" s="15" t="s">
        <v>49</v>
      </c>
      <c r="D40" s="15" t="s">
        <v>50</v>
      </c>
      <c r="E40" s="15" t="s">
        <v>51</v>
      </c>
      <c r="F40" s="15" t="s">
        <v>52</v>
      </c>
    </row>
    <row r="41" spans="1:9">
      <c r="A41" t="s">
        <v>44</v>
      </c>
      <c r="B41">
        <v>3</v>
      </c>
      <c r="C41">
        <v>42.569860815233881</v>
      </c>
      <c r="D41">
        <v>14.18995360507796</v>
      </c>
      <c r="E41">
        <v>42.662612799171185</v>
      </c>
      <c r="F41">
        <v>1.5326776389382896E-24</v>
      </c>
    </row>
    <row r="42" spans="1:9">
      <c r="A42" t="s">
        <v>45</v>
      </c>
      <c r="B42">
        <v>496</v>
      </c>
      <c r="C42">
        <v>164.97388524350765</v>
      </c>
      <c r="D42">
        <v>0.33260863960384607</v>
      </c>
    </row>
    <row r="43" spans="1:9" ht="15" thickBot="1">
      <c r="A43" s="14" t="s">
        <v>46</v>
      </c>
      <c r="B43" s="14">
        <v>499</v>
      </c>
      <c r="C43" s="14">
        <v>207.54374605874153</v>
      </c>
      <c r="D43" s="14"/>
      <c r="E43" s="14"/>
      <c r="F43" s="14"/>
    </row>
    <row r="44" spans="1:9" ht="15" thickBot="1"/>
    <row r="45" spans="1:9">
      <c r="A45" s="15"/>
      <c r="B45" s="15" t="s">
        <v>53</v>
      </c>
      <c r="C45" s="15" t="s">
        <v>41</v>
      </c>
      <c r="D45" s="15" t="s">
        <v>54</v>
      </c>
      <c r="E45" s="15" t="s">
        <v>55</v>
      </c>
      <c r="F45" s="15" t="s">
        <v>56</v>
      </c>
      <c r="G45" s="15" t="s">
        <v>57</v>
      </c>
      <c r="H45" s="15" t="s">
        <v>58</v>
      </c>
      <c r="I45" s="15" t="s">
        <v>59</v>
      </c>
    </row>
    <row r="46" spans="1:9">
      <c r="A46" t="s">
        <v>47</v>
      </c>
      <c r="B46">
        <v>3.3482073545272169</v>
      </c>
      <c r="C46">
        <v>0.13931490264481758</v>
      </c>
      <c r="D46">
        <v>24.033375403229108</v>
      </c>
      <c r="E46">
        <v>3.2964196170289377E-85</v>
      </c>
      <c r="F46">
        <v>3.0744872455774508</v>
      </c>
      <c r="G46">
        <v>3.6219274634769829</v>
      </c>
      <c r="H46">
        <v>3.0744872455774508</v>
      </c>
      <c r="I46">
        <v>3.6219274634769829</v>
      </c>
    </row>
    <row r="47" spans="1:9">
      <c r="A47" t="s">
        <v>64</v>
      </c>
      <c r="B47">
        <v>0.26471660873225877</v>
      </c>
      <c r="C47">
        <v>8.6002314882559591E-2</v>
      </c>
      <c r="D47">
        <v>3.0780172498117331</v>
      </c>
      <c r="E47">
        <v>2.1991657131543762E-3</v>
      </c>
      <c r="F47">
        <v>9.5742848189190349E-2</v>
      </c>
      <c r="G47">
        <v>0.43369036927532723</v>
      </c>
      <c r="H47">
        <v>9.5742848189190349E-2</v>
      </c>
      <c r="I47">
        <v>0.43369036927532723</v>
      </c>
    </row>
    <row r="48" spans="1:9">
      <c r="A48" t="s">
        <v>35</v>
      </c>
      <c r="B48">
        <v>2.1568101992301313E-2</v>
      </c>
      <c r="C48">
        <v>2.3845354388872739E-3</v>
      </c>
      <c r="D48">
        <v>9.0449911712639128</v>
      </c>
      <c r="E48">
        <v>3.3864475745121779E-18</v>
      </c>
      <c r="F48">
        <v>1.6883066237075292E-2</v>
      </c>
      <c r="G48">
        <v>2.6253137747527334E-2</v>
      </c>
      <c r="H48">
        <v>1.6883066237075292E-2</v>
      </c>
      <c r="I48">
        <v>2.6253137747527334E-2</v>
      </c>
    </row>
    <row r="49" spans="1:9" ht="15" thickBot="1">
      <c r="A49" s="14" t="s">
        <v>30</v>
      </c>
      <c r="B49" s="14">
        <v>8.746774967481101E-3</v>
      </c>
      <c r="C49" s="14">
        <v>1.6557524958311684E-3</v>
      </c>
      <c r="D49" s="14">
        <v>5.2826584827766316</v>
      </c>
      <c r="E49" s="14">
        <v>1.9096675023789133E-7</v>
      </c>
      <c r="F49" s="14">
        <v>5.4936215363064235E-3</v>
      </c>
      <c r="G49" s="14">
        <v>1.1999928398655779E-2</v>
      </c>
      <c r="H49" s="14">
        <v>5.4936215363064235E-3</v>
      </c>
      <c r="I49" s="14">
        <v>1.1999928398655779E-2</v>
      </c>
    </row>
    <row r="51" spans="1:9" ht="15" thickBot="1"/>
    <row r="52" spans="1:9" ht="21.6" thickBot="1">
      <c r="A52" s="17" t="s">
        <v>75</v>
      </c>
      <c r="B52" s="18"/>
      <c r="C52" s="18"/>
      <c r="D52" s="18"/>
      <c r="E52" s="19"/>
      <c r="F52" s="20"/>
    </row>
    <row r="53" spans="1:9" ht="18.600000000000001" thickBot="1">
      <c r="A53" s="21" t="s">
        <v>40</v>
      </c>
      <c r="B53" s="22">
        <v>0.200304926965403</v>
      </c>
    </row>
    <row r="57" spans="1:9">
      <c r="A57" t="s">
        <v>36</v>
      </c>
    </row>
    <row r="58" spans="1:9" ht="15" thickBot="1"/>
    <row r="59" spans="1:9">
      <c r="A59" s="16" t="s">
        <v>37</v>
      </c>
      <c r="B59" s="16"/>
    </row>
    <row r="60" spans="1:9">
      <c r="A60" t="s">
        <v>38</v>
      </c>
      <c r="B60">
        <v>0.43602473070099451</v>
      </c>
    </row>
    <row r="61" spans="1:9">
      <c r="A61" t="s">
        <v>39</v>
      </c>
      <c r="B61">
        <v>0.19011756578287481</v>
      </c>
    </row>
    <row r="62" spans="1:9">
      <c r="A62" t="s">
        <v>40</v>
      </c>
      <c r="B62">
        <v>0.185219083317852</v>
      </c>
    </row>
    <row r="63" spans="1:9">
      <c r="A63" t="s">
        <v>41</v>
      </c>
      <c r="B63">
        <v>0.58213669665979029</v>
      </c>
    </row>
    <row r="64" spans="1:9" ht="15" thickBot="1">
      <c r="A64" s="14" t="s">
        <v>42</v>
      </c>
      <c r="B64" s="14">
        <v>500</v>
      </c>
    </row>
    <row r="66" spans="1:9" ht="15" thickBot="1">
      <c r="A66" t="s">
        <v>43</v>
      </c>
    </row>
    <row r="67" spans="1:9">
      <c r="A67" s="15"/>
      <c r="B67" s="15" t="s">
        <v>48</v>
      </c>
      <c r="C67" s="15" t="s">
        <v>49</v>
      </c>
      <c r="D67" s="15" t="s">
        <v>50</v>
      </c>
      <c r="E67" s="15" t="s">
        <v>51</v>
      </c>
      <c r="F67" s="15" t="s">
        <v>52</v>
      </c>
    </row>
    <row r="68" spans="1:9">
      <c r="A68" t="s">
        <v>44</v>
      </c>
      <c r="B68">
        <v>3</v>
      </c>
      <c r="C68">
        <v>39.457711794147059</v>
      </c>
      <c r="D68">
        <v>13.152570598049019</v>
      </c>
      <c r="E68">
        <v>38.811523189148474</v>
      </c>
      <c r="F68">
        <v>1.5211334193096813E-22</v>
      </c>
    </row>
    <row r="69" spans="1:9">
      <c r="A69" t="s">
        <v>45</v>
      </c>
      <c r="B69">
        <v>496</v>
      </c>
      <c r="C69">
        <v>168.08603426459447</v>
      </c>
      <c r="D69">
        <v>0.33888313359797273</v>
      </c>
    </row>
    <row r="70" spans="1:9" ht="15" thickBot="1">
      <c r="A70" s="14" t="s">
        <v>46</v>
      </c>
      <c r="B70" s="14">
        <v>499</v>
      </c>
      <c r="C70" s="14">
        <v>207.54374605874153</v>
      </c>
      <c r="D70" s="14"/>
      <c r="E70" s="14"/>
      <c r="F70" s="14"/>
    </row>
    <row r="71" spans="1:9" ht="15" thickBot="1"/>
    <row r="72" spans="1:9">
      <c r="A72" s="15"/>
      <c r="B72" s="15" t="s">
        <v>53</v>
      </c>
      <c r="C72" s="15" t="s">
        <v>41</v>
      </c>
      <c r="D72" s="15" t="s">
        <v>54</v>
      </c>
      <c r="E72" s="15" t="s">
        <v>55</v>
      </c>
      <c r="F72" s="15" t="s">
        <v>56</v>
      </c>
      <c r="G72" s="15" t="s">
        <v>57</v>
      </c>
      <c r="H72" s="15" t="s">
        <v>58</v>
      </c>
      <c r="I72" s="15" t="s">
        <v>59</v>
      </c>
    </row>
    <row r="73" spans="1:9">
      <c r="A73" t="s">
        <v>47</v>
      </c>
      <c r="B73">
        <v>3.2721997886703416</v>
      </c>
      <c r="C73">
        <v>0.14238862135207769</v>
      </c>
      <c r="D73">
        <v>22.980767406823372</v>
      </c>
      <c r="E73">
        <v>4.0726394356458657E-80</v>
      </c>
      <c r="F73">
        <v>2.9924405654301456</v>
      </c>
      <c r="G73">
        <v>3.5519590119105375</v>
      </c>
      <c r="H73">
        <v>2.9924405654301456</v>
      </c>
      <c r="I73">
        <v>3.5519590119105375</v>
      </c>
    </row>
    <row r="74" spans="1:9">
      <c r="A74" t="s">
        <v>35</v>
      </c>
      <c r="B74">
        <v>2.1835793215479241E-2</v>
      </c>
      <c r="C74">
        <v>2.4056374217773491E-3</v>
      </c>
      <c r="D74">
        <v>9.0769261476429701</v>
      </c>
      <c r="E74">
        <v>2.6341789548354241E-18</v>
      </c>
      <c r="F74">
        <v>1.7109297164577215E-2</v>
      </c>
      <c r="G74">
        <v>2.6562289266381267E-2</v>
      </c>
      <c r="H74">
        <v>1.7109297164577215E-2</v>
      </c>
      <c r="I74">
        <v>2.6562289266381267E-2</v>
      </c>
    </row>
    <row r="75" spans="1:9">
      <c r="A75" t="s">
        <v>30</v>
      </c>
      <c r="B75">
        <v>1.0304946594075807E-2</v>
      </c>
      <c r="C75">
        <v>1.5902540978955822E-3</v>
      </c>
      <c r="D75">
        <v>6.4800629080048067</v>
      </c>
      <c r="E75">
        <v>2.2143433415365607E-10</v>
      </c>
      <c r="F75">
        <v>7.1804816827838276E-3</v>
      </c>
      <c r="G75">
        <v>1.3429411505367785E-2</v>
      </c>
      <c r="H75">
        <v>7.1804816827838276E-3</v>
      </c>
      <c r="I75">
        <v>1.3429411505367785E-2</v>
      </c>
    </row>
    <row r="76" spans="1:9" ht="15" thickBot="1">
      <c r="A76" s="14" t="s">
        <v>8</v>
      </c>
      <c r="B76" s="14">
        <v>-8.4163424669135845E-8</v>
      </c>
      <c r="C76" s="14">
        <v>2.4793980606593163E-7</v>
      </c>
      <c r="D76" s="14">
        <v>-0.33945103855875114</v>
      </c>
      <c r="E76" s="14">
        <v>0.73441365562733218</v>
      </c>
      <c r="F76" s="14">
        <v>-5.7130521238135837E-7</v>
      </c>
      <c r="G76" s="14">
        <v>4.0297836304308662E-7</v>
      </c>
      <c r="H76" s="14">
        <v>-5.7130521238135837E-7</v>
      </c>
      <c r="I76" s="14">
        <v>4.0297836304308662E-7</v>
      </c>
    </row>
    <row r="78" spans="1:9" ht="15" thickBot="1"/>
    <row r="79" spans="1:9" ht="21.6" thickBot="1">
      <c r="A79" s="17" t="s">
        <v>77</v>
      </c>
      <c r="B79" s="18"/>
      <c r="C79" s="18"/>
      <c r="D79" s="18"/>
      <c r="E79" s="19"/>
      <c r="F79" s="20"/>
    </row>
    <row r="80" spans="1:9" ht="18.600000000000001" thickBot="1">
      <c r="A80" s="21" t="s">
        <v>40</v>
      </c>
      <c r="B80" s="22">
        <v>0.185219083317852</v>
      </c>
    </row>
    <row r="83" spans="1:6">
      <c r="A83" t="s">
        <v>79</v>
      </c>
    </row>
    <row r="84" spans="1:6" ht="15" thickBot="1"/>
    <row r="85" spans="1:6" ht="21.6" thickBot="1">
      <c r="A85" s="46" t="s">
        <v>78</v>
      </c>
      <c r="B85" s="47"/>
      <c r="C85" s="47"/>
      <c r="D85" s="47"/>
      <c r="E85" s="48"/>
      <c r="F85" s="49"/>
    </row>
    <row r="86" spans="1:6" ht="18.600000000000001" thickBot="1">
      <c r="A86" s="50" t="s">
        <v>40</v>
      </c>
      <c r="B86" s="51">
        <v>0.200304926965403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5422-D745-453A-A53D-8C00516A14FD}">
  <dimension ref="A1:I57"/>
  <sheetViews>
    <sheetView topLeftCell="A40" workbookViewId="0">
      <selection activeCell="F60" sqref="F60"/>
    </sheetView>
  </sheetViews>
  <sheetFormatPr defaultRowHeight="14.4"/>
  <cols>
    <col min="1" max="1" width="30.6640625" customWidth="1"/>
    <col min="2" max="2" width="20.109375" customWidth="1"/>
    <col min="3" max="3" width="8.88671875" customWidth="1"/>
    <col min="4" max="4" width="21.109375" customWidth="1"/>
    <col min="5" max="5" width="8.88671875" customWidth="1"/>
    <col min="6" max="6" width="57.6640625" customWidth="1"/>
    <col min="7" max="7" width="12.21875" bestFit="1" customWidth="1"/>
    <col min="8" max="8" width="12.88671875" bestFit="1" customWidth="1"/>
    <col min="9" max="9" width="12.21875" bestFit="1" customWidth="1"/>
  </cols>
  <sheetData>
    <row r="1" spans="1:9">
      <c r="A1" t="s">
        <v>36</v>
      </c>
    </row>
    <row r="2" spans="1:9" ht="15" thickBot="1"/>
    <row r="3" spans="1:9">
      <c r="A3" s="16" t="s">
        <v>37</v>
      </c>
      <c r="B3" s="16"/>
    </row>
    <row r="4" spans="1:9">
      <c r="A4" t="s">
        <v>38</v>
      </c>
      <c r="B4">
        <v>0.45657343873723721</v>
      </c>
    </row>
    <row r="5" spans="1:9">
      <c r="A5" t="s">
        <v>39</v>
      </c>
      <c r="B5">
        <v>0.2084593049603457</v>
      </c>
    </row>
    <row r="6" spans="1:9">
      <c r="A6" t="s">
        <v>40</v>
      </c>
      <c r="B6">
        <v>0.20206301651558101</v>
      </c>
    </row>
    <row r="7" spans="1:9">
      <c r="A7" t="s">
        <v>41</v>
      </c>
      <c r="B7">
        <v>0.57608802814733651</v>
      </c>
    </row>
    <row r="8" spans="1:9" ht="15" thickBot="1">
      <c r="A8" s="14" t="s">
        <v>42</v>
      </c>
      <c r="B8" s="14">
        <v>500</v>
      </c>
    </row>
    <row r="10" spans="1:9" ht="15" thickBot="1">
      <c r="A10" t="s">
        <v>43</v>
      </c>
    </row>
    <row r="11" spans="1:9">
      <c r="A11" s="15"/>
      <c r="B11" s="15" t="s">
        <v>48</v>
      </c>
      <c r="C11" s="15" t="s">
        <v>49</v>
      </c>
      <c r="D11" s="15" t="s">
        <v>50</v>
      </c>
      <c r="E11" s="15" t="s">
        <v>51</v>
      </c>
      <c r="F11" s="15" t="s">
        <v>52</v>
      </c>
    </row>
    <row r="12" spans="1:9">
      <c r="A12" t="s">
        <v>44</v>
      </c>
      <c r="B12">
        <v>4</v>
      </c>
      <c r="C12">
        <v>43.264425052271747</v>
      </c>
      <c r="D12">
        <v>10.816106263067937</v>
      </c>
      <c r="E12">
        <v>32.590666721880197</v>
      </c>
      <c r="F12">
        <v>3.9179816817373603E-24</v>
      </c>
    </row>
    <row r="13" spans="1:9">
      <c r="A13" t="s">
        <v>45</v>
      </c>
      <c r="B13">
        <v>495</v>
      </c>
      <c r="C13">
        <v>164.27932100646979</v>
      </c>
      <c r="D13">
        <v>0.33187741617468641</v>
      </c>
    </row>
    <row r="14" spans="1:9" ht="15" thickBot="1">
      <c r="A14" s="14" t="s">
        <v>46</v>
      </c>
      <c r="B14" s="14">
        <v>499</v>
      </c>
      <c r="C14" s="14">
        <v>207.54374605874153</v>
      </c>
      <c r="D14" s="14"/>
      <c r="E14" s="14"/>
      <c r="F14" s="14"/>
    </row>
    <row r="15" spans="1:9" ht="15" thickBot="1"/>
    <row r="16" spans="1:9">
      <c r="A16" s="15"/>
      <c r="B16" s="15" t="s">
        <v>53</v>
      </c>
      <c r="C16" s="15" t="s">
        <v>41</v>
      </c>
      <c r="D16" s="15" t="s">
        <v>54</v>
      </c>
      <c r="E16" s="15" t="s">
        <v>55</v>
      </c>
      <c r="F16" s="15" t="s">
        <v>56</v>
      </c>
      <c r="G16" s="15" t="s">
        <v>57</v>
      </c>
      <c r="H16" s="15" t="s">
        <v>58</v>
      </c>
      <c r="I16" s="15" t="s">
        <v>59</v>
      </c>
    </row>
    <row r="17" spans="1:9">
      <c r="A17" t="s">
        <v>47</v>
      </c>
      <c r="B17">
        <v>3.230076922393287</v>
      </c>
      <c r="C17">
        <v>0.16135014702104269</v>
      </c>
      <c r="D17">
        <v>20.019051621762898</v>
      </c>
      <c r="E17">
        <v>9.4418391015738896E-66</v>
      </c>
      <c r="F17">
        <v>2.9130613180221321</v>
      </c>
      <c r="G17">
        <v>3.547092526764442</v>
      </c>
      <c r="H17">
        <v>2.9130613180221321</v>
      </c>
      <c r="I17">
        <v>3.547092526764442</v>
      </c>
    </row>
    <row r="18" spans="1:9">
      <c r="A18" t="s">
        <v>30</v>
      </c>
      <c r="B18">
        <v>7.9138268956940178E-3</v>
      </c>
      <c r="C18">
        <v>1.7512860071125407E-3</v>
      </c>
      <c r="D18">
        <v>4.5188660581729074</v>
      </c>
      <c r="E18">
        <v>7.7845837576584489E-6</v>
      </c>
      <c r="F18">
        <v>4.4729562040848924E-3</v>
      </c>
      <c r="G18">
        <v>1.1354697587303144E-2</v>
      </c>
      <c r="H18">
        <v>4.4729562040848924E-3</v>
      </c>
      <c r="I18">
        <v>1.1354697587303144E-2</v>
      </c>
    </row>
    <row r="19" spans="1:9">
      <c r="A19" t="s">
        <v>35</v>
      </c>
      <c r="B19">
        <v>2.1331774637228414E-2</v>
      </c>
      <c r="C19">
        <v>2.3875082103301457E-3</v>
      </c>
      <c r="D19">
        <v>8.934743991635802</v>
      </c>
      <c r="E19">
        <v>8.066595317209998E-18</v>
      </c>
      <c r="F19">
        <v>1.6640874924938737E-2</v>
      </c>
      <c r="G19">
        <v>2.6022674349518091E-2</v>
      </c>
      <c r="H19">
        <v>1.6640874924938737E-2</v>
      </c>
      <c r="I19">
        <v>2.6022674349518091E-2</v>
      </c>
    </row>
    <row r="20" spans="1:9">
      <c r="A20" t="s">
        <v>12</v>
      </c>
      <c r="B20">
        <v>5.6823296223235955E-4</v>
      </c>
      <c r="C20">
        <v>3.9278877125616455E-4</v>
      </c>
      <c r="D20">
        <v>1.4466629491854179</v>
      </c>
      <c r="E20">
        <v>0.14862426650862895</v>
      </c>
      <c r="F20">
        <v>-2.0350584314807164E-4</v>
      </c>
      <c r="G20">
        <v>1.3399717676127907E-3</v>
      </c>
      <c r="H20">
        <v>-2.0350584314807164E-4</v>
      </c>
      <c r="I20">
        <v>1.3399717676127907E-3</v>
      </c>
    </row>
    <row r="21" spans="1:9" ht="15" thickBot="1">
      <c r="A21" s="14" t="s">
        <v>64</v>
      </c>
      <c r="B21" s="14">
        <v>0.26059331026508353</v>
      </c>
      <c r="C21" s="14">
        <v>8.595499562075011E-2</v>
      </c>
      <c r="D21" s="14">
        <v>3.0317413011673118</v>
      </c>
      <c r="E21" s="14">
        <v>2.5589186370078608E-3</v>
      </c>
      <c r="F21" s="14">
        <v>9.1711686117084662E-2</v>
      </c>
      <c r="G21" s="14">
        <v>0.42947493441308238</v>
      </c>
      <c r="H21" s="14">
        <v>9.1711686117084662E-2</v>
      </c>
      <c r="I21" s="14">
        <v>0.42947493441308238</v>
      </c>
    </row>
    <row r="22" spans="1:9" ht="15" thickBot="1"/>
    <row r="23" spans="1:9" ht="21.6" thickBot="1">
      <c r="A23" s="17" t="s">
        <v>107</v>
      </c>
      <c r="B23" s="18"/>
      <c r="C23" s="18"/>
      <c r="D23" s="18"/>
      <c r="E23" s="19"/>
      <c r="F23" s="20"/>
      <c r="G23" s="20"/>
    </row>
    <row r="24" spans="1:9" ht="18.600000000000001" thickBot="1">
      <c r="A24" s="21" t="s">
        <v>40</v>
      </c>
      <c r="B24" s="22">
        <v>0.20206301651558101</v>
      </c>
    </row>
    <row r="27" spans="1:9">
      <c r="A27" t="s">
        <v>36</v>
      </c>
    </row>
    <row r="28" spans="1:9" ht="15" thickBot="1"/>
    <row r="29" spans="1:9">
      <c r="A29" s="16" t="s">
        <v>37</v>
      </c>
      <c r="B29" s="16"/>
    </row>
    <row r="30" spans="1:9">
      <c r="A30" t="s">
        <v>38</v>
      </c>
      <c r="B30">
        <v>0.45289726903334776</v>
      </c>
    </row>
    <row r="31" spans="1:9">
      <c r="A31" t="s">
        <v>39</v>
      </c>
      <c r="B31">
        <v>0.20511593629786459</v>
      </c>
    </row>
    <row r="32" spans="1:9">
      <c r="A32" t="s">
        <v>40</v>
      </c>
      <c r="B32">
        <v>0.19869263073259499</v>
      </c>
    </row>
    <row r="33" spans="1:9">
      <c r="A33" t="s">
        <v>41</v>
      </c>
      <c r="B33">
        <v>0.5773034079009175</v>
      </c>
    </row>
    <row r="34" spans="1:9" ht="15" thickBot="1">
      <c r="A34" s="14" t="s">
        <v>42</v>
      </c>
      <c r="B34" s="14">
        <v>500</v>
      </c>
    </row>
    <row r="36" spans="1:9" ht="15" thickBot="1">
      <c r="A36" t="s">
        <v>43</v>
      </c>
    </row>
    <row r="37" spans="1:9">
      <c r="A37" s="15"/>
      <c r="B37" s="15" t="s">
        <v>48</v>
      </c>
      <c r="C37" s="15" t="s">
        <v>49</v>
      </c>
      <c r="D37" s="15" t="s">
        <v>50</v>
      </c>
      <c r="E37" s="15" t="s">
        <v>51</v>
      </c>
      <c r="F37" s="15" t="s">
        <v>52</v>
      </c>
    </row>
    <row r="38" spans="1:9">
      <c r="A38" t="s">
        <v>44</v>
      </c>
      <c r="B38">
        <v>4</v>
      </c>
      <c r="C38">
        <v>42.570529795605012</v>
      </c>
      <c r="D38">
        <v>10.642632448901253</v>
      </c>
      <c r="E38">
        <v>31.933080905711144</v>
      </c>
      <c r="F38">
        <v>1.094546667419037E-23</v>
      </c>
    </row>
    <row r="39" spans="1:9">
      <c r="A39" t="s">
        <v>45</v>
      </c>
      <c r="B39">
        <v>495</v>
      </c>
      <c r="C39">
        <v>164.97321626313652</v>
      </c>
      <c r="D39">
        <v>0.33327922477401317</v>
      </c>
    </row>
    <row r="40" spans="1:9" ht="15" thickBot="1">
      <c r="A40" s="14" t="s">
        <v>46</v>
      </c>
      <c r="B40" s="14">
        <v>499</v>
      </c>
      <c r="C40" s="14">
        <v>207.54374605874153</v>
      </c>
      <c r="D40" s="14"/>
      <c r="E40" s="14"/>
      <c r="F40" s="14"/>
    </row>
    <row r="41" spans="1:9" ht="15" thickBot="1"/>
    <row r="42" spans="1:9">
      <c r="A42" s="15"/>
      <c r="B42" s="15" t="s">
        <v>53</v>
      </c>
      <c r="C42" s="15" t="s">
        <v>41</v>
      </c>
      <c r="D42" s="15" t="s">
        <v>54</v>
      </c>
      <c r="E42" s="15" t="s">
        <v>55</v>
      </c>
      <c r="F42" s="15" t="s">
        <v>56</v>
      </c>
      <c r="G42" s="15" t="s">
        <v>57</v>
      </c>
      <c r="H42" s="15" t="s">
        <v>58</v>
      </c>
      <c r="I42" s="15" t="s">
        <v>59</v>
      </c>
    </row>
    <row r="43" spans="1:9">
      <c r="A43" t="s">
        <v>47</v>
      </c>
      <c r="B43">
        <v>3.3497166269004275</v>
      </c>
      <c r="C43">
        <v>0.14346637514024127</v>
      </c>
      <c r="D43">
        <v>23.348444007357209</v>
      </c>
      <c r="E43">
        <v>7.5416845501208539E-82</v>
      </c>
      <c r="F43">
        <v>3.067838485096869</v>
      </c>
      <c r="G43">
        <v>3.631594768703986</v>
      </c>
      <c r="H43">
        <v>3.067838485096869</v>
      </c>
      <c r="I43">
        <v>3.631594768703986</v>
      </c>
    </row>
    <row r="44" spans="1:9">
      <c r="A44" t="s">
        <v>64</v>
      </c>
      <c r="B44">
        <v>0.26434142712588243</v>
      </c>
      <c r="C44">
        <v>8.6495295530071736E-2</v>
      </c>
      <c r="D44">
        <v>3.0561364696878699</v>
      </c>
      <c r="E44">
        <v>2.3631735008612887E-3</v>
      </c>
      <c r="F44">
        <v>9.4398239009968882E-2</v>
      </c>
      <c r="G44">
        <v>0.43428461524179596</v>
      </c>
      <c r="H44">
        <v>9.4398239009968882E-2</v>
      </c>
      <c r="I44">
        <v>0.43428461524179596</v>
      </c>
    </row>
    <row r="45" spans="1:9">
      <c r="A45" t="s">
        <v>35</v>
      </c>
      <c r="B45">
        <v>2.156625519815436E-2</v>
      </c>
      <c r="C45">
        <v>2.3872939059654962E-3</v>
      </c>
      <c r="D45">
        <v>9.0337662841862336</v>
      </c>
      <c r="E45">
        <v>3.7195492443664449E-18</v>
      </c>
      <c r="F45">
        <v>1.6875776544220893E-2</v>
      </c>
      <c r="G45">
        <v>2.6256733852087828E-2</v>
      </c>
      <c r="H45">
        <v>1.6875776544220893E-2</v>
      </c>
      <c r="I45">
        <v>2.6256733852087828E-2</v>
      </c>
    </row>
    <row r="46" spans="1:9">
      <c r="A46" t="s">
        <v>30</v>
      </c>
      <c r="B46">
        <v>8.7467520461832239E-3</v>
      </c>
      <c r="C46">
        <v>1.6574208477395237E-3</v>
      </c>
      <c r="D46">
        <v>5.277327154483725</v>
      </c>
      <c r="E46">
        <v>1.9645470356659792E-7</v>
      </c>
      <c r="F46">
        <v>5.4903046152740154E-3</v>
      </c>
      <c r="G46">
        <v>1.2003199477092432E-2</v>
      </c>
      <c r="H46">
        <v>5.4903046152740154E-3</v>
      </c>
      <c r="I46">
        <v>1.2003199477092432E-2</v>
      </c>
    </row>
    <row r="47" spans="1:9" ht="15" thickBot="1">
      <c r="A47" s="14" t="s">
        <v>8</v>
      </c>
      <c r="B47" s="14">
        <v>-1.1068096963805675E-8</v>
      </c>
      <c r="C47" s="14">
        <v>2.4704176914058484E-7</v>
      </c>
      <c r="D47" s="14">
        <v>-4.4802532795606385E-2</v>
      </c>
      <c r="E47" s="14">
        <v>0.96428277392034212</v>
      </c>
      <c r="F47" s="14">
        <v>-4.9644785765784579E-7</v>
      </c>
      <c r="G47" s="14">
        <v>4.7431166373023448E-7</v>
      </c>
      <c r="H47" s="14">
        <v>-4.9644785765784579E-7</v>
      </c>
      <c r="I47" s="14">
        <v>4.7431166373023448E-7</v>
      </c>
    </row>
    <row r="49" spans="1:6" ht="15" thickBot="1"/>
    <row r="50" spans="1:6" ht="21.6" thickBot="1">
      <c r="A50" s="17" t="s">
        <v>109</v>
      </c>
      <c r="B50" s="18"/>
      <c r="C50" s="18"/>
      <c r="D50" s="18"/>
      <c r="E50" s="19"/>
      <c r="F50" s="20"/>
    </row>
    <row r="51" spans="1:6" ht="18.600000000000001" thickBot="1">
      <c r="A51" s="21" t="s">
        <v>40</v>
      </c>
      <c r="B51" s="22">
        <v>0.19869263073259499</v>
      </c>
    </row>
    <row r="54" spans="1:6">
      <c r="A54" t="s">
        <v>80</v>
      </c>
    </row>
    <row r="55" spans="1:6" ht="15" thickBot="1"/>
    <row r="56" spans="1:6" ht="21.6" thickBot="1">
      <c r="A56" s="46" t="s">
        <v>78</v>
      </c>
      <c r="B56" s="47"/>
      <c r="C56" s="47"/>
      <c r="D56" s="47"/>
      <c r="E56" s="48"/>
      <c r="F56" s="49"/>
    </row>
    <row r="57" spans="1:6" ht="18.600000000000001" thickBot="1">
      <c r="A57" s="50" t="s">
        <v>40</v>
      </c>
      <c r="B57" s="51">
        <v>0.200304926965403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1BCD-B465-4A48-90C5-394E0D1A167F}">
  <dimension ref="A1:I526"/>
  <sheetViews>
    <sheetView zoomScale="88" workbookViewId="0">
      <selection activeCell="I8" sqref="I8"/>
    </sheetView>
  </sheetViews>
  <sheetFormatPr defaultRowHeight="14.4"/>
  <cols>
    <col min="1" max="1" width="11.88671875" customWidth="1"/>
    <col min="2" max="2" width="18.6640625" customWidth="1"/>
    <col min="3" max="3" width="12.109375" customWidth="1"/>
    <col min="4" max="4" width="11.109375" customWidth="1"/>
    <col min="5" max="6" width="13.5546875" bestFit="1" customWidth="1"/>
    <col min="7" max="9" width="9" bestFit="1" customWidth="1"/>
  </cols>
  <sheetData>
    <row r="1" spans="1:9">
      <c r="A1" t="s">
        <v>36</v>
      </c>
    </row>
    <row r="2" spans="1:9" ht="15" thickBot="1"/>
    <row r="3" spans="1:9">
      <c r="A3" s="16" t="s">
        <v>37</v>
      </c>
      <c r="B3" s="16"/>
    </row>
    <row r="4" spans="1:9">
      <c r="A4" t="s">
        <v>38</v>
      </c>
      <c r="B4">
        <v>0.45289371046155069</v>
      </c>
    </row>
    <row r="5" spans="1:9">
      <c r="A5" t="s">
        <v>39</v>
      </c>
      <c r="B5">
        <v>0.20511271297563091</v>
      </c>
    </row>
    <row r="6" spans="1:9">
      <c r="A6" t="s">
        <v>40</v>
      </c>
      <c r="B6">
        <v>0.20030492696540289</v>
      </c>
    </row>
    <row r="7" spans="1:9">
      <c r="A7" t="s">
        <v>41</v>
      </c>
      <c r="B7">
        <v>0.57672232452354921</v>
      </c>
    </row>
    <row r="8" spans="1:9" ht="15" thickBot="1">
      <c r="A8" s="14" t="s">
        <v>42</v>
      </c>
      <c r="B8" s="14">
        <v>500</v>
      </c>
    </row>
    <row r="10" spans="1:9" ht="15" thickBot="1">
      <c r="A10" t="s">
        <v>43</v>
      </c>
    </row>
    <row r="11" spans="1:9">
      <c r="A11" s="15"/>
      <c r="B11" s="15" t="s">
        <v>48</v>
      </c>
      <c r="C11" s="15" t="s">
        <v>49</v>
      </c>
      <c r="D11" s="15" t="s">
        <v>50</v>
      </c>
      <c r="E11" s="15" t="s">
        <v>51</v>
      </c>
      <c r="F11" s="15" t="s">
        <v>52</v>
      </c>
    </row>
    <row r="12" spans="1:9">
      <c r="A12" t="s">
        <v>44</v>
      </c>
      <c r="B12">
        <v>3</v>
      </c>
      <c r="C12">
        <v>42.569860815233881</v>
      </c>
      <c r="D12">
        <v>14.18995360507796</v>
      </c>
      <c r="E12">
        <v>42.662612799171185</v>
      </c>
      <c r="F12">
        <v>1.5326776389382896E-24</v>
      </c>
    </row>
    <row r="13" spans="1:9">
      <c r="A13" t="s">
        <v>45</v>
      </c>
      <c r="B13">
        <v>496</v>
      </c>
      <c r="C13">
        <v>164.97388524350765</v>
      </c>
      <c r="D13">
        <v>0.33260863960384607</v>
      </c>
    </row>
    <row r="14" spans="1:9" ht="15" thickBot="1">
      <c r="A14" s="14" t="s">
        <v>46</v>
      </c>
      <c r="B14" s="14">
        <v>499</v>
      </c>
      <c r="C14" s="14">
        <v>207.54374605874153</v>
      </c>
      <c r="D14" s="14"/>
      <c r="E14" s="14"/>
      <c r="F14" s="14"/>
    </row>
    <row r="15" spans="1:9" ht="15" thickBot="1"/>
    <row r="16" spans="1:9">
      <c r="A16" s="15"/>
      <c r="B16" s="15" t="s">
        <v>53</v>
      </c>
      <c r="C16" s="15" t="s">
        <v>41</v>
      </c>
      <c r="D16" s="15" t="s">
        <v>54</v>
      </c>
      <c r="E16" s="15" t="s">
        <v>55</v>
      </c>
      <c r="F16" s="15" t="s">
        <v>56</v>
      </c>
      <c r="G16" s="15" t="s">
        <v>57</v>
      </c>
      <c r="H16" s="15" t="s">
        <v>58</v>
      </c>
      <c r="I16" s="15" t="s">
        <v>59</v>
      </c>
    </row>
    <row r="17" spans="1:9">
      <c r="A17" t="s">
        <v>47</v>
      </c>
      <c r="B17">
        <v>3.3482073545272173</v>
      </c>
      <c r="C17">
        <v>0.13931490264481761</v>
      </c>
      <c r="D17">
        <v>24.033375403229108</v>
      </c>
      <c r="E17">
        <v>3.2964196170289377E-85</v>
      </c>
      <c r="F17">
        <v>3.0744872455774512</v>
      </c>
      <c r="G17">
        <v>3.6219274634769834</v>
      </c>
      <c r="H17">
        <v>3.0744872455774512</v>
      </c>
      <c r="I17">
        <v>3.6219274634769834</v>
      </c>
    </row>
    <row r="18" spans="1:9">
      <c r="A18" t="s">
        <v>30</v>
      </c>
      <c r="B18">
        <v>8.7467749674811027E-3</v>
      </c>
      <c r="C18">
        <v>1.6557524958311686E-3</v>
      </c>
      <c r="D18">
        <v>5.2826584827766316</v>
      </c>
      <c r="E18">
        <v>1.9096675023789133E-7</v>
      </c>
      <c r="F18">
        <v>5.4936215363064252E-3</v>
      </c>
      <c r="G18">
        <v>1.199992839865578E-2</v>
      </c>
      <c r="H18">
        <v>5.4936215363064252E-3</v>
      </c>
      <c r="I18">
        <v>1.199992839865578E-2</v>
      </c>
    </row>
    <row r="19" spans="1:9">
      <c r="A19" t="s">
        <v>35</v>
      </c>
      <c r="B19">
        <v>2.1568101992301313E-2</v>
      </c>
      <c r="C19">
        <v>2.3845354388872739E-3</v>
      </c>
      <c r="D19">
        <v>9.0449911712639128</v>
      </c>
      <c r="E19">
        <v>3.3864475745121779E-18</v>
      </c>
      <c r="F19">
        <v>1.6883066237075292E-2</v>
      </c>
      <c r="G19">
        <v>2.6253137747527334E-2</v>
      </c>
      <c r="H19">
        <v>1.6883066237075292E-2</v>
      </c>
      <c r="I19">
        <v>2.6253137747527334E-2</v>
      </c>
    </row>
    <row r="20" spans="1:9" ht="15" thickBot="1">
      <c r="A20" s="14" t="s">
        <v>64</v>
      </c>
      <c r="B20" s="14">
        <v>0.26471660873225877</v>
      </c>
      <c r="C20" s="14">
        <v>8.6002314882559591E-2</v>
      </c>
      <c r="D20" s="14">
        <v>3.0780172498117331</v>
      </c>
      <c r="E20" s="14">
        <v>2.1991657131543762E-3</v>
      </c>
      <c r="F20" s="14">
        <v>9.5742848189190349E-2</v>
      </c>
      <c r="G20" s="14">
        <v>0.43369036927532723</v>
      </c>
      <c r="H20" s="14">
        <v>9.5742848189190349E-2</v>
      </c>
      <c r="I20" s="14">
        <v>0.43369036927532723</v>
      </c>
    </row>
    <row r="24" spans="1:9">
      <c r="A24" t="s">
        <v>102</v>
      </c>
    </row>
    <row r="25" spans="1:9" ht="15" thickBot="1"/>
    <row r="26" spans="1:9">
      <c r="A26" s="15" t="s">
        <v>103</v>
      </c>
      <c r="B26" s="15" t="s">
        <v>104</v>
      </c>
      <c r="C26" s="15" t="s">
        <v>105</v>
      </c>
      <c r="D26" s="9"/>
    </row>
    <row r="27" spans="1:9">
      <c r="A27">
        <v>1</v>
      </c>
      <c r="B27">
        <v>4.3735645806982655</v>
      </c>
      <c r="C27">
        <v>-0.3964562738969355</v>
      </c>
    </row>
    <row r="28" spans="1:9">
      <c r="A28">
        <v>2</v>
      </c>
      <c r="B28">
        <v>4.5404952488782007</v>
      </c>
      <c r="C28">
        <v>-0.27393790154508491</v>
      </c>
    </row>
    <row r="29" spans="1:9">
      <c r="A29">
        <v>3</v>
      </c>
      <c r="B29">
        <v>3.9382066854935092</v>
      </c>
      <c r="C29">
        <v>0.60949260145006523</v>
      </c>
    </row>
    <row r="30" spans="1:9">
      <c r="A30">
        <v>4</v>
      </c>
      <c r="B30">
        <v>4.1039408371233428</v>
      </c>
      <c r="C30">
        <v>0.45948395217641735</v>
      </c>
    </row>
    <row r="31" spans="1:9">
      <c r="A31">
        <v>5</v>
      </c>
      <c r="B31">
        <v>4.7030514940422226</v>
      </c>
      <c r="C31">
        <v>-0.55907373451610898</v>
      </c>
    </row>
    <row r="32" spans="1:9">
      <c r="A32">
        <v>6</v>
      </c>
      <c r="B32">
        <v>4.834320368365713</v>
      </c>
      <c r="C32">
        <v>-0.92044284916433972</v>
      </c>
    </row>
    <row r="33" spans="1:3">
      <c r="A33">
        <v>7</v>
      </c>
      <c r="B33">
        <v>4.7932174971304438</v>
      </c>
      <c r="C33">
        <v>-1.1788765073149459</v>
      </c>
    </row>
    <row r="34" spans="1:3">
      <c r="A34">
        <v>8</v>
      </c>
      <c r="B34">
        <v>4.2911732132259122</v>
      </c>
      <c r="C34">
        <v>0.5419003852004316</v>
      </c>
    </row>
    <row r="35" spans="1:3">
      <c r="A35">
        <v>9</v>
      </c>
      <c r="B35">
        <v>4.5234333333080752</v>
      </c>
      <c r="C35">
        <v>-0.20479295214027626</v>
      </c>
    </row>
    <row r="36" spans="1:3">
      <c r="A36">
        <v>10</v>
      </c>
      <c r="B36">
        <v>4.5109395874699683</v>
      </c>
      <c r="C36">
        <v>-0.1096983592907792</v>
      </c>
    </row>
    <row r="37" spans="1:3">
      <c r="A37">
        <v>11</v>
      </c>
      <c r="B37">
        <v>4.4333851822750523</v>
      </c>
      <c r="C37">
        <v>-1.3286959625985695E-2</v>
      </c>
    </row>
    <row r="38" spans="1:3">
      <c r="A38">
        <v>12</v>
      </c>
      <c r="B38">
        <v>4.4230079996640397</v>
      </c>
      <c r="C38">
        <v>-3.716878185551753E-2</v>
      </c>
    </row>
    <row r="39" spans="1:3">
      <c r="A39">
        <v>13</v>
      </c>
      <c r="B39">
        <v>4.6138228279141673</v>
      </c>
      <c r="C39">
        <v>0.12819929637534511</v>
      </c>
    </row>
    <row r="40" spans="1:3">
      <c r="A40">
        <v>14</v>
      </c>
      <c r="B40">
        <v>4.4240401201799617</v>
      </c>
      <c r="C40">
        <v>0.49520855178198531</v>
      </c>
    </row>
    <row r="41" spans="1:3">
      <c r="A41">
        <v>15</v>
      </c>
      <c r="B41">
        <v>4.5449315904153877</v>
      </c>
      <c r="C41">
        <v>0.30647175688269623</v>
      </c>
    </row>
    <row r="42" spans="1:3">
      <c r="A42">
        <v>16</v>
      </c>
      <c r="B42">
        <v>4.7163526245208267</v>
      </c>
      <c r="C42">
        <v>-0.52566690458899501</v>
      </c>
    </row>
    <row r="43" spans="1:3">
      <c r="A43">
        <v>17</v>
      </c>
      <c r="B43">
        <v>4.532900068152399</v>
      </c>
      <c r="C43">
        <v>-0.67250776068810225</v>
      </c>
    </row>
    <row r="44" spans="1:3">
      <c r="A44">
        <v>18</v>
      </c>
      <c r="B44">
        <v>4.427911743725141</v>
      </c>
      <c r="C44">
        <v>-9.282629138296894E-2</v>
      </c>
    </row>
    <row r="45" spans="1:3">
      <c r="A45">
        <v>19</v>
      </c>
      <c r="B45">
        <v>4.6719542634894218</v>
      </c>
      <c r="C45">
        <v>-0.60672862483723478</v>
      </c>
    </row>
    <row r="46" spans="1:3">
      <c r="A46">
        <v>20</v>
      </c>
      <c r="B46">
        <v>4.2567780709783536</v>
      </c>
      <c r="C46">
        <v>1.2070386648997733E-2</v>
      </c>
    </row>
    <row r="47" spans="1:3">
      <c r="A47">
        <v>21</v>
      </c>
      <c r="B47">
        <v>4.9062171913401604</v>
      </c>
      <c r="C47">
        <v>-0.61478629882503366</v>
      </c>
    </row>
    <row r="48" spans="1:3">
      <c r="A48">
        <v>22</v>
      </c>
      <c r="B48">
        <v>4.6476141540606966</v>
      </c>
      <c r="C48">
        <v>-0.26216960950683887</v>
      </c>
    </row>
    <row r="49" spans="1:3">
      <c r="A49">
        <v>23</v>
      </c>
      <c r="B49">
        <v>4.3606341694611341</v>
      </c>
      <c r="C49">
        <v>0.31553047162589642</v>
      </c>
    </row>
    <row r="50" spans="1:3">
      <c r="A50">
        <v>24</v>
      </c>
      <c r="B50">
        <v>4.5384856349968778</v>
      </c>
      <c r="C50">
        <v>-0.70194160967312236</v>
      </c>
    </row>
    <row r="51" spans="1:3">
      <c r="A51">
        <v>25</v>
      </c>
      <c r="B51">
        <v>4.4004231263881017</v>
      </c>
      <c r="C51">
        <v>0.21185579636705576</v>
      </c>
    </row>
    <row r="52" spans="1:3">
      <c r="A52">
        <v>26</v>
      </c>
      <c r="B52">
        <v>4.3900739753389733</v>
      </c>
      <c r="C52">
        <v>-0.66147713303147349</v>
      </c>
    </row>
    <row r="53" spans="1:3">
      <c r="A53">
        <v>27</v>
      </c>
      <c r="B53">
        <v>4.0513794531678053</v>
      </c>
      <c r="C53">
        <v>-0.77520190423519963</v>
      </c>
    </row>
    <row r="54" spans="1:3">
      <c r="A54">
        <v>28</v>
      </c>
      <c r="B54">
        <v>5.3502389199914973</v>
      </c>
      <c r="C54">
        <v>-0.71235063039434454</v>
      </c>
    </row>
    <row r="55" spans="1:3">
      <c r="A55">
        <v>29</v>
      </c>
      <c r="B55">
        <v>4.590258252634591</v>
      </c>
      <c r="C55">
        <v>0.1311314736164757</v>
      </c>
    </row>
    <row r="56" spans="1:3">
      <c r="A56">
        <v>30</v>
      </c>
      <c r="B56">
        <v>4.5821266730043488</v>
      </c>
      <c r="C56">
        <v>-0.87138678550163284</v>
      </c>
    </row>
    <row r="57" spans="1:3">
      <c r="A57">
        <v>31</v>
      </c>
      <c r="B57">
        <v>4.7709565751387935</v>
      </c>
      <c r="C57">
        <v>0.49330114977882644</v>
      </c>
    </row>
    <row r="58" spans="1:3">
      <c r="A58">
        <v>32</v>
      </c>
      <c r="B58">
        <v>5.1234752411890376</v>
      </c>
      <c r="C58">
        <v>-0.23180181857906845</v>
      </c>
    </row>
    <row r="59" spans="1:3">
      <c r="A59">
        <v>33</v>
      </c>
      <c r="B59">
        <v>4.4390429828584343</v>
      </c>
      <c r="C59">
        <v>-0.65885048514862854</v>
      </c>
    </row>
    <row r="60" spans="1:3">
      <c r="A60">
        <v>34</v>
      </c>
      <c r="B60">
        <v>4.7028205081538452</v>
      </c>
      <c r="C60">
        <v>-0.59754769575166478</v>
      </c>
    </row>
    <row r="61" spans="1:3">
      <c r="A61">
        <v>35</v>
      </c>
      <c r="B61">
        <v>4.471705500495661</v>
      </c>
      <c r="C61">
        <v>-0.20176046280237525</v>
      </c>
    </row>
    <row r="62" spans="1:3">
      <c r="A62">
        <v>36</v>
      </c>
      <c r="B62">
        <v>4.9061879059934093</v>
      </c>
      <c r="C62">
        <v>0.67128625655175256</v>
      </c>
    </row>
    <row r="63" spans="1:3">
      <c r="A63">
        <v>37</v>
      </c>
      <c r="B63">
        <v>4.7812116801636018</v>
      </c>
      <c r="C63">
        <v>0.76711219101890915</v>
      </c>
    </row>
    <row r="64" spans="1:3">
      <c r="A64">
        <v>38</v>
      </c>
      <c r="B64">
        <v>4.7562884936048961</v>
      </c>
      <c r="C64">
        <v>0.93208450585996427</v>
      </c>
    </row>
    <row r="65" spans="1:3">
      <c r="A65">
        <v>39</v>
      </c>
      <c r="B65">
        <v>4.869465939267613</v>
      </c>
      <c r="C65">
        <v>-0.19927669256968095</v>
      </c>
    </row>
    <row r="66" spans="1:3">
      <c r="A66">
        <v>40</v>
      </c>
      <c r="B66">
        <v>4.4813555963503777</v>
      </c>
      <c r="C66">
        <v>0.22137125275528824</v>
      </c>
    </row>
    <row r="67" spans="1:3">
      <c r="A67">
        <v>41</v>
      </c>
      <c r="B67">
        <v>4.2955204293101286</v>
      </c>
      <c r="C67">
        <v>-0.83053953464321761</v>
      </c>
    </row>
    <row r="68" spans="1:3">
      <c r="A68">
        <v>42</v>
      </c>
      <c r="B68">
        <v>4.4589928616153411</v>
      </c>
      <c r="C68">
        <v>1.0525433736988354</v>
      </c>
    </row>
    <row r="69" spans="1:3">
      <c r="A69">
        <v>43</v>
      </c>
      <c r="B69">
        <v>4.6719542634894218</v>
      </c>
      <c r="C69">
        <v>4.7039162251023114E-2</v>
      </c>
    </row>
    <row r="70" spans="1:3">
      <c r="A70">
        <v>44</v>
      </c>
      <c r="B70">
        <v>4.6441956305359859</v>
      </c>
      <c r="C70">
        <v>0.62551691900978224</v>
      </c>
    </row>
    <row r="71" spans="1:3">
      <c r="A71">
        <v>45</v>
      </c>
      <c r="B71">
        <v>5.018208748520669</v>
      </c>
      <c r="C71">
        <v>-0.81781561179672746</v>
      </c>
    </row>
    <row r="72" spans="1:3">
      <c r="A72">
        <v>46</v>
      </c>
      <c r="B72">
        <v>4.7052086113168485</v>
      </c>
      <c r="C72">
        <v>0.2624679744317131</v>
      </c>
    </row>
    <row r="73" spans="1:3">
      <c r="A73">
        <v>47</v>
      </c>
      <c r="B73">
        <v>4.4674591916519173</v>
      </c>
      <c r="C73">
        <v>0.78540104480621942</v>
      </c>
    </row>
    <row r="74" spans="1:3">
      <c r="A74">
        <v>48</v>
      </c>
      <c r="B74">
        <v>4.8709673354635399</v>
      </c>
      <c r="C74">
        <v>-0.24797985989915095</v>
      </c>
    </row>
    <row r="75" spans="1:3">
      <c r="A75">
        <v>49</v>
      </c>
      <c r="B75">
        <v>4.1951611238824622</v>
      </c>
      <c r="C75">
        <v>-0.94443225675267195</v>
      </c>
    </row>
    <row r="76" spans="1:3">
      <c r="A76">
        <v>50</v>
      </c>
      <c r="B76">
        <v>4.9530163557781552</v>
      </c>
      <c r="C76">
        <v>0.87521562787198981</v>
      </c>
    </row>
    <row r="77" spans="1:3">
      <c r="A77">
        <v>51</v>
      </c>
      <c r="B77">
        <v>4.5668333715768474</v>
      </c>
      <c r="C77">
        <v>-0.73765551410730712</v>
      </c>
    </row>
    <row r="78" spans="1:3">
      <c r="A78">
        <v>52</v>
      </c>
      <c r="B78">
        <v>5.4509790545354662</v>
      </c>
      <c r="C78">
        <v>0.88041007173964125</v>
      </c>
    </row>
    <row r="79" spans="1:3">
      <c r="A79">
        <v>53</v>
      </c>
      <c r="B79">
        <v>4.7467338974178723</v>
      </c>
      <c r="C79">
        <v>-0.57253205619749359</v>
      </c>
    </row>
    <row r="80" spans="1:3">
      <c r="A80">
        <v>54</v>
      </c>
      <c r="B80">
        <v>4.6502056691061551</v>
      </c>
      <c r="C80">
        <v>0.24281326790206226</v>
      </c>
    </row>
    <row r="81" spans="1:3">
      <c r="A81">
        <v>55</v>
      </c>
      <c r="B81">
        <v>4.4792952425937544</v>
      </c>
      <c r="C81">
        <v>-0.43451446703322283</v>
      </c>
    </row>
    <row r="82" spans="1:3">
      <c r="A82">
        <v>56</v>
      </c>
      <c r="B82">
        <v>4.3733932499349466</v>
      </c>
      <c r="C82">
        <v>0.40696817726551249</v>
      </c>
    </row>
    <row r="83" spans="1:3">
      <c r="A83">
        <v>57</v>
      </c>
      <c r="B83">
        <v>4.5826712922537451</v>
      </c>
      <c r="C83">
        <v>0.63364857893985249</v>
      </c>
    </row>
    <row r="84" spans="1:3">
      <c r="A84">
        <v>58</v>
      </c>
      <c r="B84">
        <v>4.2455190889026104</v>
      </c>
      <c r="C84">
        <v>-0.64862051526897613</v>
      </c>
    </row>
    <row r="85" spans="1:3">
      <c r="A85">
        <v>59</v>
      </c>
      <c r="B85">
        <v>4.1679407554510419</v>
      </c>
      <c r="C85">
        <v>-0.54379179509959119</v>
      </c>
    </row>
    <row r="86" spans="1:3">
      <c r="A86">
        <v>60</v>
      </c>
      <c r="B86">
        <v>4.3396347289307036</v>
      </c>
      <c r="C86">
        <v>-0.19665962972312645</v>
      </c>
    </row>
    <row r="87" spans="1:3">
      <c r="A87">
        <v>61</v>
      </c>
      <c r="B87">
        <v>4.6681740989733207</v>
      </c>
      <c r="C87">
        <v>-0.94849898854555192</v>
      </c>
    </row>
    <row r="88" spans="1:3">
      <c r="A88">
        <v>62</v>
      </c>
      <c r="B88">
        <v>5.1957105786432161</v>
      </c>
      <c r="C88">
        <v>-0.26716925468601715</v>
      </c>
    </row>
    <row r="89" spans="1:3">
      <c r="A89">
        <v>63</v>
      </c>
      <c r="B89">
        <v>4.2882461997360144</v>
      </c>
      <c r="C89">
        <v>-0.17951034721225945</v>
      </c>
    </row>
    <row r="90" spans="1:3">
      <c r="A90">
        <v>64</v>
      </c>
      <c r="B90">
        <v>4.7337630222481506</v>
      </c>
      <c r="C90">
        <v>0.59027402129604667</v>
      </c>
    </row>
    <row r="91" spans="1:3">
      <c r="A91">
        <v>65</v>
      </c>
      <c r="B91">
        <v>4.796440448795888</v>
      </c>
      <c r="C91">
        <v>0.62895631313574896</v>
      </c>
    </row>
    <row r="92" spans="1:3">
      <c r="A92">
        <v>66</v>
      </c>
      <c r="B92">
        <v>4.6053543661108751</v>
      </c>
      <c r="C92">
        <v>0.46504027590871289</v>
      </c>
    </row>
    <row r="93" spans="1:3">
      <c r="A93">
        <v>67</v>
      </c>
      <c r="B93">
        <v>4.2281723659805923</v>
      </c>
      <c r="C93">
        <v>0.44568831937349263</v>
      </c>
    </row>
    <row r="94" spans="1:3">
      <c r="A94">
        <v>68</v>
      </c>
      <c r="B94">
        <v>4.8436496486920904</v>
      </c>
      <c r="C94">
        <v>7.1808670712583123E-2</v>
      </c>
    </row>
    <row r="95" spans="1:3">
      <c r="A95">
        <v>69</v>
      </c>
      <c r="B95">
        <v>4.8135257715492585</v>
      </c>
      <c r="C95">
        <v>0.89995658973555948</v>
      </c>
    </row>
    <row r="96" spans="1:3">
      <c r="A96">
        <v>70</v>
      </c>
      <c r="B96">
        <v>4.0342289189570959</v>
      </c>
      <c r="C96">
        <v>-0.10980914019998611</v>
      </c>
    </row>
    <row r="97" spans="1:3">
      <c r="A97">
        <v>71</v>
      </c>
      <c r="B97">
        <v>4.4262639110373456</v>
      </c>
      <c r="C97">
        <v>-0.52350585775629188</v>
      </c>
    </row>
    <row r="98" spans="1:3">
      <c r="A98">
        <v>72</v>
      </c>
      <c r="B98">
        <v>4.637044377619036</v>
      </c>
      <c r="C98">
        <v>0.34975141382270714</v>
      </c>
    </row>
    <row r="99" spans="1:3">
      <c r="A99">
        <v>73</v>
      </c>
      <c r="B99">
        <v>4.5173565057571299</v>
      </c>
      <c r="C99">
        <v>-0.9004992137756016</v>
      </c>
    </row>
    <row r="100" spans="1:3">
      <c r="A100">
        <v>74</v>
      </c>
      <c r="B100">
        <v>4.6611082078884163</v>
      </c>
      <c r="C100">
        <v>-0.14630837039599953</v>
      </c>
    </row>
    <row r="101" spans="1:3">
      <c r="A101">
        <v>75</v>
      </c>
      <c r="B101">
        <v>4.3862755074054691</v>
      </c>
      <c r="C101">
        <v>-0.61758129123817795</v>
      </c>
    </row>
    <row r="102" spans="1:3">
      <c r="A102">
        <v>76</v>
      </c>
      <c r="B102">
        <v>4.7557554479543969</v>
      </c>
      <c r="C102">
        <v>-0.76537100604128883</v>
      </c>
    </row>
    <row r="103" spans="1:3">
      <c r="A103">
        <v>77</v>
      </c>
      <c r="B103">
        <v>4.8465330284928445</v>
      </c>
      <c r="C103">
        <v>-0.30111625322261659</v>
      </c>
    </row>
    <row r="104" spans="1:3">
      <c r="A104">
        <v>78</v>
      </c>
      <c r="B104">
        <v>4.4247563428727794</v>
      </c>
      <c r="C104">
        <v>1.9165725623171426E-2</v>
      </c>
    </row>
    <row r="105" spans="1:3">
      <c r="A105">
        <v>79</v>
      </c>
      <c r="B105">
        <v>4.4610264596632527</v>
      </c>
      <c r="C105">
        <v>-0.15155336213291104</v>
      </c>
    </row>
    <row r="106" spans="1:3">
      <c r="A106">
        <v>80</v>
      </c>
      <c r="B106">
        <v>4.7098854886219019</v>
      </c>
      <c r="C106">
        <v>-0.5092919449866935</v>
      </c>
    </row>
    <row r="107" spans="1:3">
      <c r="A107">
        <v>81</v>
      </c>
      <c r="B107">
        <v>4.4331972797208872</v>
      </c>
      <c r="C107">
        <v>0.91537414294741914</v>
      </c>
    </row>
    <row r="108" spans="1:3">
      <c r="A108">
        <v>82</v>
      </c>
      <c r="B108">
        <v>4.7006572864734437</v>
      </c>
      <c r="C108">
        <v>-0.31257438394586234</v>
      </c>
    </row>
    <row r="109" spans="1:3">
      <c r="A109">
        <v>83</v>
      </c>
      <c r="B109">
        <v>4.7642701953278523</v>
      </c>
      <c r="C109">
        <v>0.28815506565676952</v>
      </c>
    </row>
    <row r="110" spans="1:3">
      <c r="A110">
        <v>84</v>
      </c>
      <c r="B110">
        <v>4.7402594399661355</v>
      </c>
      <c r="C110">
        <v>0.37771920310574991</v>
      </c>
    </row>
    <row r="111" spans="1:3">
      <c r="A111">
        <v>85</v>
      </c>
      <c r="B111">
        <v>4.5470227190897186</v>
      </c>
      <c r="C111">
        <v>1.5597398251046002E-2</v>
      </c>
    </row>
    <row r="112" spans="1:3">
      <c r="A112">
        <v>86</v>
      </c>
      <c r="B112">
        <v>4.8074847427817922</v>
      </c>
      <c r="C112">
        <v>8.0838734220683328E-2</v>
      </c>
    </row>
    <row r="113" spans="1:3">
      <c r="A113">
        <v>87</v>
      </c>
      <c r="B113">
        <v>4.7378898979842576</v>
      </c>
      <c r="C113">
        <v>0.63182762360956168</v>
      </c>
    </row>
    <row r="114" spans="1:3">
      <c r="A114">
        <v>88</v>
      </c>
      <c r="B114">
        <v>4.5125418603873406</v>
      </c>
      <c r="C114">
        <v>0.79984977577734817</v>
      </c>
    </row>
    <row r="115" spans="1:3">
      <c r="A115">
        <v>89</v>
      </c>
      <c r="B115">
        <v>4.1839200268491332</v>
      </c>
      <c r="C115">
        <v>-0.78300379665270459</v>
      </c>
    </row>
    <row r="116" spans="1:3">
      <c r="A116">
        <v>90</v>
      </c>
      <c r="B116">
        <v>4.5507206847594812</v>
      </c>
      <c r="C116">
        <v>0.53214701445846746</v>
      </c>
    </row>
    <row r="117" spans="1:3">
      <c r="A117">
        <v>91</v>
      </c>
      <c r="B117">
        <v>4.534400418707917</v>
      </c>
      <c r="C117">
        <v>-0.281669530059383</v>
      </c>
    </row>
    <row r="118" spans="1:3">
      <c r="A118">
        <v>92</v>
      </c>
      <c r="B118">
        <v>4.5006895284914705</v>
      </c>
      <c r="C118">
        <v>-2.7345488093036607E-2</v>
      </c>
    </row>
    <row r="119" spans="1:3">
      <c r="A119">
        <v>93</v>
      </c>
      <c r="B119">
        <v>4.5170945473151445</v>
      </c>
      <c r="C119">
        <v>0.54221616740356904</v>
      </c>
    </row>
    <row r="120" spans="1:3">
      <c r="A120">
        <v>94</v>
      </c>
      <c r="B120">
        <v>4.965762458553943</v>
      </c>
      <c r="C120">
        <v>-0.23296994106480184</v>
      </c>
    </row>
    <row r="121" spans="1:3">
      <c r="A121">
        <v>95</v>
      </c>
      <c r="B121">
        <v>3.9057975103020763</v>
      </c>
      <c r="C121">
        <v>-0.46014801621976575</v>
      </c>
    </row>
    <row r="122" spans="1:3">
      <c r="A122">
        <v>96</v>
      </c>
      <c r="B122">
        <v>4.8388763248617037</v>
      </c>
      <c r="C122">
        <v>-0.33006778273454351</v>
      </c>
    </row>
    <row r="123" spans="1:3">
      <c r="A123">
        <v>97</v>
      </c>
      <c r="B123">
        <v>4.7620007813747192</v>
      </c>
      <c r="C123">
        <v>1.0144121146780849</v>
      </c>
    </row>
    <row r="124" spans="1:3">
      <c r="A124">
        <v>98</v>
      </c>
      <c r="B124">
        <v>4.6516174900150524</v>
      </c>
      <c r="C124">
        <v>-1.7575893439640389E-2</v>
      </c>
    </row>
    <row r="125" spans="1:3">
      <c r="A125">
        <v>99</v>
      </c>
      <c r="B125">
        <v>5.0572072374881749</v>
      </c>
      <c r="C125">
        <v>-0.96265491584553153</v>
      </c>
    </row>
    <row r="126" spans="1:3">
      <c r="A126">
        <v>100</v>
      </c>
      <c r="B126">
        <v>4.3862657444720199</v>
      </c>
      <c r="C126">
        <v>0.20003027860422407</v>
      </c>
    </row>
    <row r="127" spans="1:3">
      <c r="A127">
        <v>101</v>
      </c>
      <c r="B127">
        <v>4.3826413047525161</v>
      </c>
      <c r="C127">
        <v>0.43245656656337417</v>
      </c>
    </row>
    <row r="128" spans="1:3">
      <c r="A128">
        <v>102</v>
      </c>
      <c r="B128">
        <v>4.7562884936048961</v>
      </c>
      <c r="C128">
        <v>-0.8578649573656989</v>
      </c>
    </row>
    <row r="129" spans="1:3">
      <c r="A129">
        <v>103</v>
      </c>
      <c r="B129">
        <v>4.6236869593803238</v>
      </c>
      <c r="C129">
        <v>-0.5355941253236649</v>
      </c>
    </row>
    <row r="130" spans="1:3">
      <c r="A130">
        <v>104</v>
      </c>
      <c r="B130">
        <v>4.5843068564761298</v>
      </c>
      <c r="C130">
        <v>-0.35898792425137049</v>
      </c>
    </row>
    <row r="131" spans="1:3">
      <c r="A131">
        <v>105</v>
      </c>
      <c r="B131">
        <v>4.793625790111534</v>
      </c>
      <c r="C131">
        <v>-0.16373097067217923</v>
      </c>
    </row>
    <row r="132" spans="1:3">
      <c r="A132">
        <v>106</v>
      </c>
      <c r="B132">
        <v>4.7269625199761798</v>
      </c>
      <c r="C132">
        <v>0.43682461619563462</v>
      </c>
    </row>
    <row r="133" spans="1:3">
      <c r="A133">
        <v>107</v>
      </c>
      <c r="B133">
        <v>5.0155489331157117</v>
      </c>
      <c r="C133">
        <v>-0.51930170756749661</v>
      </c>
    </row>
    <row r="134" spans="1:3">
      <c r="A134">
        <v>108</v>
      </c>
      <c r="B134">
        <v>4.282353428583912</v>
      </c>
      <c r="C134">
        <v>0.49925952369302973</v>
      </c>
    </row>
    <row r="135" spans="1:3">
      <c r="A135">
        <v>109</v>
      </c>
      <c r="B135">
        <v>4.4383348853099642</v>
      </c>
      <c r="C135">
        <v>-0.24711711370228873</v>
      </c>
    </row>
    <row r="136" spans="1:3">
      <c r="A136">
        <v>110</v>
      </c>
      <c r="B136">
        <v>4.8542582387192637</v>
      </c>
      <c r="C136">
        <v>-0.22683905817855532</v>
      </c>
    </row>
    <row r="137" spans="1:3">
      <c r="A137">
        <v>111</v>
      </c>
      <c r="B137">
        <v>4.8674524325785269</v>
      </c>
      <c r="C137">
        <v>0.93312688038919411</v>
      </c>
    </row>
    <row r="138" spans="1:3">
      <c r="A138">
        <v>112</v>
      </c>
      <c r="B138">
        <v>4.4975882349873642</v>
      </c>
      <c r="C138">
        <v>-0.7812523002408911</v>
      </c>
    </row>
    <row r="139" spans="1:3">
      <c r="A139">
        <v>113</v>
      </c>
      <c r="B139">
        <v>4.338789433277773</v>
      </c>
      <c r="C139">
        <v>-0.90115922772780799</v>
      </c>
    </row>
    <row r="140" spans="1:3">
      <c r="A140">
        <v>114</v>
      </c>
      <c r="B140">
        <v>4.6339494243121493</v>
      </c>
      <c r="C140">
        <v>0.60639326423441275</v>
      </c>
    </row>
    <row r="141" spans="1:3">
      <c r="A141">
        <v>115</v>
      </c>
      <c r="B141">
        <v>4.2536242006582725</v>
      </c>
      <c r="C141">
        <v>-0.4478494502639867</v>
      </c>
    </row>
    <row r="142" spans="1:3">
      <c r="A142">
        <v>116</v>
      </c>
      <c r="B142">
        <v>4.9941558340748866</v>
      </c>
      <c r="C142">
        <v>0.17944255843829193</v>
      </c>
    </row>
    <row r="143" spans="1:3">
      <c r="A143">
        <v>117</v>
      </c>
      <c r="B143">
        <v>4.681754571576235</v>
      </c>
      <c r="C143">
        <v>-0.34467796317722232</v>
      </c>
    </row>
    <row r="144" spans="1:3">
      <c r="A144">
        <v>118</v>
      </c>
      <c r="B144">
        <v>4.767181381658963</v>
      </c>
      <c r="C144">
        <v>0.82232405434800349</v>
      </c>
    </row>
    <row r="145" spans="1:3">
      <c r="A145">
        <v>119</v>
      </c>
      <c r="B145">
        <v>4.2785461418562329</v>
      </c>
      <c r="C145">
        <v>-9.1714282704390193E-2</v>
      </c>
    </row>
    <row r="146" spans="1:3">
      <c r="A146">
        <v>120</v>
      </c>
      <c r="B146">
        <v>4.8558711350380026</v>
      </c>
      <c r="C146">
        <v>-0.60793190031857414</v>
      </c>
    </row>
    <row r="147" spans="1:3">
      <c r="A147">
        <v>121</v>
      </c>
      <c r="B147">
        <v>5.0878680605449009</v>
      </c>
      <c r="C147">
        <v>-0.63519935847875519</v>
      </c>
    </row>
    <row r="148" spans="1:3">
      <c r="A148">
        <v>122</v>
      </c>
      <c r="B148">
        <v>4.4449558366711388</v>
      </c>
      <c r="C148">
        <v>-0.54392735801854686</v>
      </c>
    </row>
    <row r="149" spans="1:3">
      <c r="A149">
        <v>123</v>
      </c>
      <c r="B149">
        <v>4.227362373623996</v>
      </c>
      <c r="C149">
        <v>-0.89778768328482172</v>
      </c>
    </row>
    <row r="150" spans="1:3">
      <c r="A150">
        <v>124</v>
      </c>
      <c r="B150">
        <v>4.8660300604135767</v>
      </c>
      <c r="C150">
        <v>0.67806272233517184</v>
      </c>
    </row>
    <row r="151" spans="1:3">
      <c r="A151">
        <v>125</v>
      </c>
      <c r="B151">
        <v>4.7423953351756793</v>
      </c>
      <c r="C151">
        <v>-1.0524621800639897</v>
      </c>
    </row>
    <row r="152" spans="1:3">
      <c r="A152">
        <v>126</v>
      </c>
      <c r="B152">
        <v>5.2427235855681786</v>
      </c>
      <c r="C152">
        <v>0.81677356529001965</v>
      </c>
    </row>
    <row r="153" spans="1:3">
      <c r="A153">
        <v>127</v>
      </c>
      <c r="B153">
        <v>4.5630052213526016</v>
      </c>
      <c r="C153">
        <v>-9.2133430311491793E-3</v>
      </c>
    </row>
    <row r="154" spans="1:3">
      <c r="A154">
        <v>128</v>
      </c>
      <c r="B154">
        <v>4.6631339862112897</v>
      </c>
      <c r="C154">
        <v>-0.42381799330711001</v>
      </c>
    </row>
    <row r="155" spans="1:3">
      <c r="A155">
        <v>129</v>
      </c>
      <c r="B155">
        <v>4.6340598220336409</v>
      </c>
      <c r="C155">
        <v>0.43944557795538142</v>
      </c>
    </row>
    <row r="156" spans="1:3">
      <c r="A156">
        <v>130</v>
      </c>
      <c r="B156">
        <v>4.8746861842937097</v>
      </c>
      <c r="C156">
        <v>0.73164637353087336</v>
      </c>
    </row>
    <row r="157" spans="1:3">
      <c r="A157">
        <v>131</v>
      </c>
      <c r="B157">
        <v>4.5273795495337401</v>
      </c>
      <c r="C157">
        <v>0.76215309708592738</v>
      </c>
    </row>
    <row r="158" spans="1:3">
      <c r="A158">
        <v>132</v>
      </c>
      <c r="B158">
        <v>4.3514365712113694</v>
      </c>
      <c r="C158">
        <v>0.73618399345745544</v>
      </c>
    </row>
    <row r="159" spans="1:3">
      <c r="A159">
        <v>133</v>
      </c>
      <c r="B159">
        <v>4.8442021003948987</v>
      </c>
      <c r="C159">
        <v>0.47241024017605238</v>
      </c>
    </row>
    <row r="160" spans="1:3">
      <c r="A160">
        <v>134</v>
      </c>
      <c r="B160">
        <v>4.331664836122453</v>
      </c>
      <c r="C160">
        <v>-0.65499247351642564</v>
      </c>
    </row>
    <row r="161" spans="1:3">
      <c r="A161">
        <v>135</v>
      </c>
      <c r="B161">
        <v>4.6242558471195778</v>
      </c>
      <c r="C161">
        <v>7.3689179136888328E-2</v>
      </c>
    </row>
    <row r="162" spans="1:3">
      <c r="A162">
        <v>136</v>
      </c>
      <c r="B162">
        <v>4.915095284845397</v>
      </c>
      <c r="C162">
        <v>-0.85394909132875974</v>
      </c>
    </row>
    <row r="163" spans="1:3">
      <c r="A163">
        <v>137</v>
      </c>
      <c r="B163">
        <v>4.9320336444438393</v>
      </c>
      <c r="C163">
        <v>-0.54261313878004813</v>
      </c>
    </row>
    <row r="164" spans="1:3">
      <c r="A164">
        <v>138</v>
      </c>
      <c r="B164">
        <v>4.5462620149796118</v>
      </c>
      <c r="C164">
        <v>0.37955060485203518</v>
      </c>
    </row>
    <row r="165" spans="1:3">
      <c r="A165">
        <v>139</v>
      </c>
      <c r="B165">
        <v>4.4834016721227021</v>
      </c>
      <c r="C165">
        <v>0.5295300637128646</v>
      </c>
    </row>
    <row r="166" spans="1:3">
      <c r="A166">
        <v>140</v>
      </c>
      <c r="B166">
        <v>4.2558789223053832</v>
      </c>
      <c r="C166">
        <v>0.73025230207287173</v>
      </c>
    </row>
    <row r="167" spans="1:3">
      <c r="A167">
        <v>141</v>
      </c>
      <c r="B167">
        <v>4.6628401318053427</v>
      </c>
      <c r="C167">
        <v>0.70217296601044943</v>
      </c>
    </row>
    <row r="168" spans="1:3">
      <c r="A168">
        <v>142</v>
      </c>
      <c r="B168">
        <v>4.834803029937687</v>
      </c>
      <c r="C168">
        <v>0.67844040010673545</v>
      </c>
    </row>
    <row r="169" spans="1:3">
      <c r="A169">
        <v>143</v>
      </c>
      <c r="B169">
        <v>4.6736888882775753</v>
      </c>
      <c r="C169">
        <v>-0.18779917551879866</v>
      </c>
    </row>
    <row r="170" spans="1:3">
      <c r="A170">
        <v>144</v>
      </c>
      <c r="B170">
        <v>4.7896214857079498</v>
      </c>
      <c r="C170">
        <v>0.29026211995546092</v>
      </c>
    </row>
    <row r="171" spans="1:3">
      <c r="A171">
        <v>145</v>
      </c>
      <c r="B171">
        <v>4.6202146251043796</v>
      </c>
      <c r="C171">
        <v>-0.34356675188268238</v>
      </c>
    </row>
    <row r="172" spans="1:3">
      <c r="A172">
        <v>146</v>
      </c>
      <c r="B172">
        <v>3.8401450483818702</v>
      </c>
      <c r="C172">
        <v>-0.45347885444158154</v>
      </c>
    </row>
    <row r="173" spans="1:3">
      <c r="A173">
        <v>147</v>
      </c>
      <c r="B173">
        <v>4.5890153001767828</v>
      </c>
      <c r="C173">
        <v>-0.72429842365978647</v>
      </c>
    </row>
    <row r="174" spans="1:3">
      <c r="A174">
        <v>148</v>
      </c>
      <c r="B174">
        <v>4.1062460924737012</v>
      </c>
      <c r="C174">
        <v>-0.86934968105896804</v>
      </c>
    </row>
    <row r="175" spans="1:3">
      <c r="A175">
        <v>149</v>
      </c>
      <c r="B175">
        <v>4.3074322500782429</v>
      </c>
      <c r="C175">
        <v>0.97876234329591849</v>
      </c>
    </row>
    <row r="176" spans="1:3">
      <c r="A176">
        <v>150</v>
      </c>
      <c r="B176">
        <v>4.4317189475095313</v>
      </c>
      <c r="C176">
        <v>1.3521284774390629E-2</v>
      </c>
    </row>
    <row r="177" spans="1:3">
      <c r="A177">
        <v>151</v>
      </c>
      <c r="B177">
        <v>4.3270353915369064</v>
      </c>
      <c r="C177">
        <v>-0.90924447346802717</v>
      </c>
    </row>
    <row r="178" spans="1:3">
      <c r="A178">
        <v>152</v>
      </c>
      <c r="B178">
        <v>4.4598741140662179</v>
      </c>
      <c r="C178">
        <v>-0.62703827344363461</v>
      </c>
    </row>
    <row r="179" spans="1:3">
      <c r="A179">
        <v>153</v>
      </c>
      <c r="B179">
        <v>4.4906114428768129</v>
      </c>
      <c r="C179">
        <v>-0.41831513058772885</v>
      </c>
    </row>
    <row r="180" spans="1:3">
      <c r="A180">
        <v>154</v>
      </c>
      <c r="B180">
        <v>4.9164880213877726</v>
      </c>
      <c r="C180">
        <v>-0.18300517836551755</v>
      </c>
    </row>
    <row r="181" spans="1:3">
      <c r="A181">
        <v>155</v>
      </c>
      <c r="B181">
        <v>4.8466407567931755</v>
      </c>
      <c r="C181">
        <v>-0.72350122811161643</v>
      </c>
    </row>
    <row r="182" spans="1:3">
      <c r="A182">
        <v>156</v>
      </c>
      <c r="B182">
        <v>4.7596119226170197</v>
      </c>
      <c r="C182">
        <v>-6.3068574153493984E-2</v>
      </c>
    </row>
    <row r="183" spans="1:3">
      <c r="A183">
        <v>157</v>
      </c>
      <c r="B183">
        <v>4.6692695430932272</v>
      </c>
      <c r="C183">
        <v>0.24817645221763485</v>
      </c>
    </row>
    <row r="184" spans="1:3">
      <c r="A184">
        <v>158</v>
      </c>
      <c r="B184">
        <v>4.6765434057983066</v>
      </c>
      <c r="C184">
        <v>0.2646212616718735</v>
      </c>
    </row>
    <row r="185" spans="1:3">
      <c r="A185">
        <v>159</v>
      </c>
      <c r="B185">
        <v>4.5966559070486079</v>
      </c>
      <c r="C185">
        <v>-0.54979684512267202</v>
      </c>
    </row>
    <row r="186" spans="1:3">
      <c r="A186">
        <v>160</v>
      </c>
      <c r="B186">
        <v>4.8296057611874454</v>
      </c>
      <c r="C186">
        <v>0.66181407622872523</v>
      </c>
    </row>
    <row r="187" spans="1:3">
      <c r="A187">
        <v>161</v>
      </c>
      <c r="B187">
        <v>4.8682029018780772</v>
      </c>
      <c r="C187">
        <v>-0.22877883048427883</v>
      </c>
    </row>
    <row r="188" spans="1:3">
      <c r="A188">
        <v>162</v>
      </c>
      <c r="B188">
        <v>4.9095746075488318</v>
      </c>
      <c r="C188">
        <v>0.69736866303703859</v>
      </c>
    </row>
    <row r="189" spans="1:3">
      <c r="A189">
        <v>163</v>
      </c>
      <c r="B189">
        <v>4.0991580714233109</v>
      </c>
      <c r="C189">
        <v>-0.60793340410861951</v>
      </c>
    </row>
    <row r="190" spans="1:3">
      <c r="A190">
        <v>164</v>
      </c>
      <c r="B190">
        <v>4.3662791761038049</v>
      </c>
      <c r="C190">
        <v>-3.6148003539004492E-2</v>
      </c>
    </row>
    <row r="191" spans="1:3">
      <c r="A191">
        <v>165</v>
      </c>
      <c r="B191">
        <v>4.6142660846949708</v>
      </c>
      <c r="C191">
        <v>-0.15406161432283838</v>
      </c>
    </row>
    <row r="192" spans="1:3">
      <c r="A192">
        <v>166</v>
      </c>
      <c r="B192">
        <v>4.8218657265565286</v>
      </c>
      <c r="C192">
        <v>1.0342816085435693</v>
      </c>
    </row>
    <row r="193" spans="1:3">
      <c r="A193">
        <v>167</v>
      </c>
      <c r="B193">
        <v>5.0830853737825485</v>
      </c>
      <c r="C193">
        <v>-0.75454472229887948</v>
      </c>
    </row>
    <row r="194" spans="1:3">
      <c r="A194">
        <v>168</v>
      </c>
      <c r="B194">
        <v>4.4319628510502875</v>
      </c>
      <c r="C194">
        <v>0.35997887610020296</v>
      </c>
    </row>
    <row r="195" spans="1:3">
      <c r="A195">
        <v>169</v>
      </c>
      <c r="B195">
        <v>4.2173393950388709</v>
      </c>
      <c r="C195">
        <v>0.78014652332903367</v>
      </c>
    </row>
    <row r="196" spans="1:3">
      <c r="A196">
        <v>170</v>
      </c>
      <c r="B196">
        <v>4.3200712337636347</v>
      </c>
      <c r="C196">
        <v>-4.2510028915414111E-2</v>
      </c>
    </row>
    <row r="197" spans="1:3">
      <c r="A197">
        <v>171</v>
      </c>
      <c r="B197">
        <v>4.4611170448018411</v>
      </c>
      <c r="C197">
        <v>-0.85184630343455581</v>
      </c>
    </row>
    <row r="198" spans="1:3">
      <c r="A198">
        <v>172</v>
      </c>
      <c r="B198">
        <v>5.1832258247109753</v>
      </c>
      <c r="C198">
        <v>0.19908920192044199</v>
      </c>
    </row>
    <row r="199" spans="1:3">
      <c r="A199">
        <v>173</v>
      </c>
      <c r="B199">
        <v>4.7429054214065722</v>
      </c>
      <c r="C199">
        <v>-0.55676633017987598</v>
      </c>
    </row>
    <row r="200" spans="1:3">
      <c r="A200">
        <v>174</v>
      </c>
      <c r="B200">
        <v>4.2053185387321781</v>
      </c>
      <c r="C200">
        <v>-0.61298725098107365</v>
      </c>
    </row>
    <row r="201" spans="1:3">
      <c r="A201">
        <v>175</v>
      </c>
      <c r="B201">
        <v>4.3822022714534352</v>
      </c>
      <c r="C201">
        <v>0.90963937681031126</v>
      </c>
    </row>
    <row r="202" spans="1:3">
      <c r="A202">
        <v>176</v>
      </c>
      <c r="B202">
        <v>4.92883001232628</v>
      </c>
      <c r="C202">
        <v>0.8534781851569484</v>
      </c>
    </row>
    <row r="203" spans="1:3">
      <c r="A203">
        <v>177</v>
      </c>
      <c r="B203">
        <v>4.7220646043346299</v>
      </c>
      <c r="C203">
        <v>-0.35051317271808724</v>
      </c>
    </row>
    <row r="204" spans="1:3">
      <c r="A204">
        <v>178</v>
      </c>
      <c r="B204">
        <v>4.2745342906947181</v>
      </c>
      <c r="C204">
        <v>-0.32773967319498398</v>
      </c>
    </row>
    <row r="205" spans="1:3">
      <c r="A205">
        <v>179</v>
      </c>
      <c r="B205">
        <v>4.2548181105338685</v>
      </c>
      <c r="C205">
        <v>-0.37905615592441055</v>
      </c>
    </row>
    <row r="206" spans="1:3">
      <c r="A206">
        <v>180</v>
      </c>
      <c r="B206">
        <v>4.6563363777355153</v>
      </c>
      <c r="C206">
        <v>-0.2582110560231321</v>
      </c>
    </row>
    <row r="207" spans="1:3">
      <c r="A207">
        <v>181</v>
      </c>
      <c r="B207">
        <v>4.2507392669792621</v>
      </c>
      <c r="C207">
        <v>3.0679958621276704E-2</v>
      </c>
    </row>
    <row r="208" spans="1:3">
      <c r="A208">
        <v>182</v>
      </c>
      <c r="B208">
        <v>4.2982432726469089</v>
      </c>
      <c r="C208">
        <v>0.65886525961631826</v>
      </c>
    </row>
    <row r="209" spans="1:3">
      <c r="A209">
        <v>183</v>
      </c>
      <c r="B209">
        <v>4.0827263749118758</v>
      </c>
      <c r="C209">
        <v>0.53073719520207607</v>
      </c>
    </row>
    <row r="210" spans="1:3">
      <c r="A210">
        <v>184</v>
      </c>
      <c r="B210">
        <v>4.3039208992281903</v>
      </c>
      <c r="C210">
        <v>-0.72044086806997898</v>
      </c>
    </row>
    <row r="211" spans="1:3">
      <c r="A211">
        <v>185</v>
      </c>
      <c r="B211">
        <v>4.8271674970140115</v>
      </c>
      <c r="C211">
        <v>0.93992211277672943</v>
      </c>
    </row>
    <row r="212" spans="1:3">
      <c r="A212">
        <v>186</v>
      </c>
      <c r="B212">
        <v>4.6229695938444131</v>
      </c>
      <c r="C212">
        <v>0.26626016604200053</v>
      </c>
    </row>
    <row r="213" spans="1:3">
      <c r="A213">
        <v>187</v>
      </c>
      <c r="B213">
        <v>4.5481245450831338</v>
      </c>
      <c r="C213">
        <v>-0.18231124062429238</v>
      </c>
    </row>
    <row r="214" spans="1:3">
      <c r="A214">
        <v>188</v>
      </c>
      <c r="B214">
        <v>4.8988444175874664</v>
      </c>
      <c r="C214">
        <v>1.17206193431727E-2</v>
      </c>
    </row>
    <row r="215" spans="1:3">
      <c r="A215">
        <v>189</v>
      </c>
      <c r="B215">
        <v>4.460169083738946</v>
      </c>
      <c r="C215">
        <v>-6.3235897131038499E-2</v>
      </c>
    </row>
    <row r="216" spans="1:3">
      <c r="A216">
        <v>190</v>
      </c>
      <c r="B216">
        <v>4.5970539111303861</v>
      </c>
      <c r="C216">
        <v>0.13969535033421288</v>
      </c>
    </row>
    <row r="217" spans="1:3">
      <c r="A217">
        <v>191</v>
      </c>
      <c r="B217">
        <v>5.0261530975450075</v>
      </c>
      <c r="C217">
        <v>-1.02375339351899</v>
      </c>
    </row>
    <row r="218" spans="1:3">
      <c r="A218">
        <v>192</v>
      </c>
      <c r="B218">
        <v>4.0261733607671841</v>
      </c>
      <c r="C218">
        <v>6.7321968854791692E-2</v>
      </c>
    </row>
    <row r="219" spans="1:3">
      <c r="A219">
        <v>193</v>
      </c>
      <c r="B219">
        <v>4.3436982019346848</v>
      </c>
      <c r="C219">
        <v>0.45199800245609367</v>
      </c>
    </row>
    <row r="220" spans="1:3">
      <c r="A220">
        <v>194</v>
      </c>
      <c r="B220">
        <v>4.7246720388062995</v>
      </c>
      <c r="C220">
        <v>9.8068981146078649E-2</v>
      </c>
    </row>
    <row r="221" spans="1:3">
      <c r="A221">
        <v>195</v>
      </c>
      <c r="B221">
        <v>4.7685921955088002</v>
      </c>
      <c r="C221">
        <v>-0.87610924613675767</v>
      </c>
    </row>
    <row r="222" spans="1:3">
      <c r="A222">
        <v>196</v>
      </c>
      <c r="B222">
        <v>4.7184816960018159</v>
      </c>
      <c r="C222">
        <v>0.36617687313385705</v>
      </c>
    </row>
    <row r="223" spans="1:3">
      <c r="A223">
        <v>197</v>
      </c>
      <c r="B223">
        <v>4.545836952153099</v>
      </c>
      <c r="C223">
        <v>0.65700338963936211</v>
      </c>
    </row>
    <row r="224" spans="1:3">
      <c r="A224">
        <v>198</v>
      </c>
      <c r="B224">
        <v>4.2204410283637674</v>
      </c>
      <c r="C224">
        <v>-0.37157374198324433</v>
      </c>
    </row>
    <row r="225" spans="1:3">
      <c r="A225">
        <v>199</v>
      </c>
      <c r="B225">
        <v>4.3902188511576341</v>
      </c>
      <c r="C225">
        <v>0.41516698663591711</v>
      </c>
    </row>
    <row r="226" spans="1:3">
      <c r="A226">
        <v>200</v>
      </c>
      <c r="B226">
        <v>4.6592403502957183</v>
      </c>
      <c r="C226">
        <v>-0.58743736187539852</v>
      </c>
    </row>
    <row r="227" spans="1:3">
      <c r="A227">
        <v>201</v>
      </c>
      <c r="B227">
        <v>4.5506274623513692</v>
      </c>
      <c r="C227">
        <v>-0.63008289491161573</v>
      </c>
    </row>
    <row r="228" spans="1:3">
      <c r="A228">
        <v>202</v>
      </c>
      <c r="B228">
        <v>4.3005619979500818</v>
      </c>
      <c r="C228">
        <v>1.0728751748686252</v>
      </c>
    </row>
    <row r="229" spans="1:3">
      <c r="A229">
        <v>203</v>
      </c>
      <c r="B229">
        <v>4.386834405919287</v>
      </c>
      <c r="C229">
        <v>-0.34811844808912973</v>
      </c>
    </row>
    <row r="230" spans="1:3">
      <c r="A230">
        <v>204</v>
      </c>
      <c r="B230">
        <v>4.1999118034235554</v>
      </c>
      <c r="C230">
        <v>-0.89072389772422955</v>
      </c>
    </row>
    <row r="231" spans="1:3">
      <c r="A231">
        <v>205</v>
      </c>
      <c r="B231">
        <v>4.5360920676065062</v>
      </c>
      <c r="C231">
        <v>-0.86671394705399551</v>
      </c>
    </row>
    <row r="232" spans="1:3">
      <c r="A232">
        <v>206</v>
      </c>
      <c r="B232">
        <v>4.2319887892429557</v>
      </c>
      <c r="C232">
        <v>2.8254252290365933E-2</v>
      </c>
    </row>
    <row r="233" spans="1:3">
      <c r="A233">
        <v>207</v>
      </c>
      <c r="B233">
        <v>5.007846243092569</v>
      </c>
      <c r="C233">
        <v>-0.20684506901457578</v>
      </c>
    </row>
    <row r="234" spans="1:3">
      <c r="A234">
        <v>208</v>
      </c>
      <c r="B234">
        <v>4.6103188099548378</v>
      </c>
      <c r="C234">
        <v>4.8150478583797174E-2</v>
      </c>
    </row>
    <row r="235" spans="1:3">
      <c r="A235">
        <v>209</v>
      </c>
      <c r="B235">
        <v>4.185950883272576</v>
      </c>
      <c r="C235">
        <v>0.60505203102404437</v>
      </c>
    </row>
    <row r="236" spans="1:3">
      <c r="A236">
        <v>210</v>
      </c>
      <c r="B236">
        <v>4.4674591916519173</v>
      </c>
      <c r="C236">
        <v>-0.89672124117591157</v>
      </c>
    </row>
    <row r="237" spans="1:3">
      <c r="A237">
        <v>211</v>
      </c>
      <c r="B237">
        <v>4.8272802340002858</v>
      </c>
      <c r="C237">
        <v>0.81787120173326677</v>
      </c>
    </row>
    <row r="238" spans="1:3">
      <c r="A238">
        <v>212</v>
      </c>
      <c r="B238">
        <v>5.1689558883350522</v>
      </c>
      <c r="C238">
        <v>0.24042547789848712</v>
      </c>
    </row>
    <row r="239" spans="1:3">
      <c r="A239">
        <v>213</v>
      </c>
      <c r="B239">
        <v>4.6425919910559283</v>
      </c>
      <c r="C239">
        <v>-0.11626889251012784</v>
      </c>
    </row>
    <row r="240" spans="1:3">
      <c r="A240">
        <v>214</v>
      </c>
      <c r="B240">
        <v>4.7083368319583441</v>
      </c>
      <c r="C240">
        <v>0.62829931672561745</v>
      </c>
    </row>
    <row r="241" spans="1:3">
      <c r="A241">
        <v>215</v>
      </c>
      <c r="B241">
        <v>4.5800591009540881</v>
      </c>
      <c r="C241">
        <v>-1.016143580973794</v>
      </c>
    </row>
    <row r="242" spans="1:3">
      <c r="A242">
        <v>216</v>
      </c>
      <c r="B242">
        <v>4.3092057040756142</v>
      </c>
      <c r="C242">
        <v>-0.82602056391721757</v>
      </c>
    </row>
    <row r="243" spans="1:3">
      <c r="A243">
        <v>217</v>
      </c>
      <c r="B243">
        <v>4.4424083159769516</v>
      </c>
      <c r="C243">
        <v>-8.6872536837800496E-2</v>
      </c>
    </row>
    <row r="244" spans="1:3">
      <c r="A244">
        <v>218</v>
      </c>
      <c r="B244">
        <v>4.6293849268944474</v>
      </c>
      <c r="C244">
        <v>-0.35782902339005318</v>
      </c>
    </row>
    <row r="245" spans="1:3">
      <c r="A245">
        <v>219</v>
      </c>
      <c r="B245">
        <v>4.6824903943830218</v>
      </c>
      <c r="C245">
        <v>0.67329915367874182</v>
      </c>
    </row>
    <row r="246" spans="1:3">
      <c r="A246">
        <v>220</v>
      </c>
      <c r="B246">
        <v>4.7886489622495256</v>
      </c>
      <c r="C246">
        <v>-0.34413181819544203</v>
      </c>
    </row>
    <row r="247" spans="1:3">
      <c r="A247">
        <v>221</v>
      </c>
      <c r="B247">
        <v>4.5905820095636223</v>
      </c>
      <c r="C247">
        <v>-0.75140585049497766</v>
      </c>
    </row>
    <row r="248" spans="1:3">
      <c r="A248">
        <v>222</v>
      </c>
      <c r="B248">
        <v>4.4837975130868211</v>
      </c>
      <c r="C248">
        <v>-0.33278421019964899</v>
      </c>
    </row>
    <row r="249" spans="1:3">
      <c r="A249">
        <v>223</v>
      </c>
      <c r="B249">
        <v>4.6452652256158808</v>
      </c>
      <c r="C249">
        <v>0.32590788780541669</v>
      </c>
    </row>
    <row r="250" spans="1:3">
      <c r="A250">
        <v>224</v>
      </c>
      <c r="B250">
        <v>4.8399368670425913</v>
      </c>
      <c r="C250">
        <v>-0.31819326129475289</v>
      </c>
    </row>
    <row r="251" spans="1:3">
      <c r="A251">
        <v>225</v>
      </c>
      <c r="B251">
        <v>5.1777807237612272</v>
      </c>
      <c r="C251">
        <v>-0.50624833624945609</v>
      </c>
    </row>
    <row r="252" spans="1:3">
      <c r="A252">
        <v>226</v>
      </c>
      <c r="B252">
        <v>4.4959993483676186</v>
      </c>
      <c r="C252">
        <v>0.85749528742202319</v>
      </c>
    </row>
    <row r="253" spans="1:3">
      <c r="A253">
        <v>227</v>
      </c>
      <c r="B253">
        <v>4.7892019768452814</v>
      </c>
      <c r="C253">
        <v>0.86287509140577612</v>
      </c>
    </row>
    <row r="254" spans="1:3">
      <c r="A254">
        <v>228</v>
      </c>
      <c r="B254">
        <v>4.6898133572500891</v>
      </c>
      <c r="C254">
        <v>-0.59617791699773814</v>
      </c>
    </row>
    <row r="255" spans="1:3">
      <c r="A255">
        <v>229</v>
      </c>
      <c r="B255">
        <v>4.5182361247515974</v>
      </c>
      <c r="C255">
        <v>-0.30461735745081331</v>
      </c>
    </row>
    <row r="256" spans="1:3">
      <c r="A256">
        <v>230</v>
      </c>
      <c r="B256">
        <v>4.5944449499590592</v>
      </c>
      <c r="C256">
        <v>-7.5166489116273105E-2</v>
      </c>
    </row>
    <row r="257" spans="1:3">
      <c r="A257">
        <v>231</v>
      </c>
      <c r="B257">
        <v>4.5016165400805157</v>
      </c>
      <c r="C257">
        <v>-4.7430155098273197E-2</v>
      </c>
    </row>
    <row r="258" spans="1:3">
      <c r="A258">
        <v>232</v>
      </c>
      <c r="B258">
        <v>4.1708504158461785</v>
      </c>
      <c r="C258">
        <v>0.48786303077471782</v>
      </c>
    </row>
    <row r="259" spans="1:3">
      <c r="A259">
        <v>233</v>
      </c>
      <c r="B259">
        <v>4.5475272507163265</v>
      </c>
      <c r="C259">
        <v>-0.34512583409795283</v>
      </c>
    </row>
    <row r="260" spans="1:3">
      <c r="A260">
        <v>234</v>
      </c>
      <c r="B260">
        <v>4.454066881112106</v>
      </c>
      <c r="C260">
        <v>-0.19272139779468489</v>
      </c>
    </row>
    <row r="261" spans="1:3">
      <c r="A261">
        <v>235</v>
      </c>
      <c r="B261">
        <v>4.4017147927522711</v>
      </c>
      <c r="C261">
        <v>0.58353011921420261</v>
      </c>
    </row>
    <row r="262" spans="1:3">
      <c r="A262">
        <v>236</v>
      </c>
      <c r="B262">
        <v>4.1575705580344087</v>
      </c>
      <c r="C262">
        <v>0.75473314518962908</v>
      </c>
    </row>
    <row r="263" spans="1:3">
      <c r="A263">
        <v>237</v>
      </c>
      <c r="B263">
        <v>4.5360920676065062</v>
      </c>
      <c r="C263">
        <v>0.32784626373901471</v>
      </c>
    </row>
    <row r="264" spans="1:3">
      <c r="A264">
        <v>238</v>
      </c>
      <c r="B264">
        <v>4.5100603376578405</v>
      </c>
      <c r="C264">
        <v>0.85656150279182519</v>
      </c>
    </row>
    <row r="265" spans="1:3">
      <c r="A265">
        <v>239</v>
      </c>
      <c r="B265">
        <v>4.8545090875481618</v>
      </c>
      <c r="C265">
        <v>0.43648042689402367</v>
      </c>
    </row>
    <row r="266" spans="1:3">
      <c r="A266">
        <v>240</v>
      </c>
      <c r="B266">
        <v>4.6922259383292859</v>
      </c>
      <c r="C266">
        <v>0.33763721894233623</v>
      </c>
    </row>
    <row r="267" spans="1:3">
      <c r="A267">
        <v>241</v>
      </c>
      <c r="B267">
        <v>5.0488411208287012</v>
      </c>
      <c r="C267">
        <v>-0.64832429923270229</v>
      </c>
    </row>
    <row r="268" spans="1:3">
      <c r="A268">
        <v>242</v>
      </c>
      <c r="B268">
        <v>4.6437071035954647</v>
      </c>
      <c r="C268">
        <v>0.3795785696457914</v>
      </c>
    </row>
    <row r="269" spans="1:3">
      <c r="A269">
        <v>243</v>
      </c>
      <c r="B269">
        <v>4.5500575837948256</v>
      </c>
      <c r="C269">
        <v>0.9835340911361099</v>
      </c>
    </row>
    <row r="270" spans="1:3">
      <c r="A270">
        <v>244</v>
      </c>
      <c r="B270">
        <v>4.5471220486499879</v>
      </c>
      <c r="C270">
        <v>0.64782773502931068</v>
      </c>
    </row>
    <row r="271" spans="1:3">
      <c r="A271">
        <v>245</v>
      </c>
      <c r="B271">
        <v>4.6996442328202859</v>
      </c>
      <c r="C271">
        <v>-0.84323808128575362</v>
      </c>
    </row>
    <row r="272" spans="1:3">
      <c r="A272">
        <v>246</v>
      </c>
      <c r="B272">
        <v>4.5363128466159903</v>
      </c>
      <c r="C272">
        <v>-0.66573141410333125</v>
      </c>
    </row>
    <row r="273" spans="1:3">
      <c r="A273">
        <v>247</v>
      </c>
      <c r="B273">
        <v>4.4865952211607087</v>
      </c>
      <c r="C273">
        <v>-4.8526131583081167E-2</v>
      </c>
    </row>
    <row r="274" spans="1:3">
      <c r="A274">
        <v>248</v>
      </c>
      <c r="B274">
        <v>4.7536644590733861</v>
      </c>
      <c r="C274">
        <v>-0.84448276542089662</v>
      </c>
    </row>
    <row r="275" spans="1:3">
      <c r="A275">
        <v>249</v>
      </c>
      <c r="B275">
        <v>4.4156886792019536</v>
      </c>
      <c r="C275">
        <v>0.35798516389905632</v>
      </c>
    </row>
    <row r="276" spans="1:3">
      <c r="A276">
        <v>250</v>
      </c>
      <c r="B276">
        <v>4.1262545819523782</v>
      </c>
      <c r="C276">
        <v>-0.64099247494929035</v>
      </c>
    </row>
    <row r="277" spans="1:3">
      <c r="A277">
        <v>251</v>
      </c>
      <c r="B277">
        <v>4.4253003970770255</v>
      </c>
      <c r="C277">
        <v>2.1939611379693247E-3</v>
      </c>
    </row>
    <row r="278" spans="1:3">
      <c r="A278">
        <v>252</v>
      </c>
      <c r="B278">
        <v>4.6063264736682239</v>
      </c>
      <c r="C278">
        <v>-0.72166506809204201</v>
      </c>
    </row>
    <row r="279" spans="1:3">
      <c r="A279">
        <v>253</v>
      </c>
      <c r="B279">
        <v>4.8626324940065304</v>
      </c>
      <c r="C279">
        <v>-0.50811592737015143</v>
      </c>
    </row>
    <row r="280" spans="1:3">
      <c r="A280">
        <v>254</v>
      </c>
      <c r="B280">
        <v>4.8973383063623688</v>
      </c>
      <c r="C280">
        <v>-0.75010890993013302</v>
      </c>
    </row>
    <row r="281" spans="1:3">
      <c r="A281">
        <v>255</v>
      </c>
      <c r="B281">
        <v>4.8696969251559903</v>
      </c>
      <c r="C281">
        <v>-0.46828210211259513</v>
      </c>
    </row>
    <row r="282" spans="1:3">
      <c r="A282">
        <v>256</v>
      </c>
      <c r="B282">
        <v>4.5280553736231806</v>
      </c>
      <c r="C282">
        <v>0.614767606653702</v>
      </c>
    </row>
    <row r="283" spans="1:3">
      <c r="A283">
        <v>257</v>
      </c>
      <c r="B283">
        <v>4.645290495433497</v>
      </c>
      <c r="C283">
        <v>-0.39140043944826086</v>
      </c>
    </row>
    <row r="284" spans="1:3">
      <c r="A284">
        <v>258</v>
      </c>
      <c r="B284">
        <v>4.9727473184837532</v>
      </c>
      <c r="C284">
        <v>0.91229060988149513</v>
      </c>
    </row>
    <row r="285" spans="1:3">
      <c r="A285">
        <v>259</v>
      </c>
      <c r="B285">
        <v>4.3081178227468371</v>
      </c>
      <c r="C285">
        <v>-0.9635056136408231</v>
      </c>
    </row>
    <row r="286" spans="1:3">
      <c r="A286">
        <v>260</v>
      </c>
      <c r="B286">
        <v>4.7199906215174305</v>
      </c>
      <c r="C286">
        <v>-0.12081557510893148</v>
      </c>
    </row>
    <row r="287" spans="1:3">
      <c r="A287">
        <v>261</v>
      </c>
      <c r="B287">
        <v>4.6857852801500277</v>
      </c>
      <c r="C287">
        <v>0.79755764225773529</v>
      </c>
    </row>
    <row r="288" spans="1:3">
      <c r="A288">
        <v>262</v>
      </c>
      <c r="B288">
        <v>4.5533758845994052</v>
      </c>
      <c r="C288">
        <v>0.87297943353199781</v>
      </c>
    </row>
    <row r="289" spans="1:3">
      <c r="A289">
        <v>263</v>
      </c>
      <c r="B289">
        <v>5.0355085659153627</v>
      </c>
      <c r="C289">
        <v>-0.36187656810112045</v>
      </c>
    </row>
    <row r="290" spans="1:3">
      <c r="A290">
        <v>264</v>
      </c>
      <c r="B290">
        <v>4.5868647392070674</v>
      </c>
      <c r="C290">
        <v>0.92222049558942931</v>
      </c>
    </row>
    <row r="291" spans="1:3">
      <c r="A291">
        <v>265</v>
      </c>
      <c r="B291">
        <v>4.8523418822181936</v>
      </c>
      <c r="C291">
        <v>0.68550519979135682</v>
      </c>
    </row>
    <row r="292" spans="1:3">
      <c r="A292">
        <v>266</v>
      </c>
      <c r="B292">
        <v>4.6314466189585666</v>
      </c>
      <c r="C292">
        <v>0.26931716395246141</v>
      </c>
    </row>
    <row r="293" spans="1:3">
      <c r="A293">
        <v>267</v>
      </c>
      <c r="B293">
        <v>4.4230948864826818</v>
      </c>
      <c r="C293">
        <v>-0.97110314727740388</v>
      </c>
    </row>
    <row r="294" spans="1:3">
      <c r="A294">
        <v>268</v>
      </c>
      <c r="B294">
        <v>4.5200540656990187</v>
      </c>
      <c r="C294">
        <v>0.622095537286806</v>
      </c>
    </row>
    <row r="295" spans="1:3">
      <c r="A295">
        <v>269</v>
      </c>
      <c r="B295">
        <v>4.4814422160585199</v>
      </c>
      <c r="C295">
        <v>0.13627351440728397</v>
      </c>
    </row>
    <row r="296" spans="1:3">
      <c r="A296">
        <v>270</v>
      </c>
      <c r="B296">
        <v>4.6379663038343173</v>
      </c>
      <c r="C296">
        <v>-0.73465297193761581</v>
      </c>
    </row>
    <row r="297" spans="1:3">
      <c r="A297">
        <v>271</v>
      </c>
      <c r="B297">
        <v>4.2544232403040017</v>
      </c>
      <c r="C297">
        <v>-0.92914849973259717</v>
      </c>
    </row>
    <row r="298" spans="1:3">
      <c r="A298">
        <v>272</v>
      </c>
      <c r="B298">
        <v>4.7139928484721985</v>
      </c>
      <c r="C298">
        <v>2.8452286174501573E-2</v>
      </c>
    </row>
    <row r="299" spans="1:3">
      <c r="A299">
        <v>273</v>
      </c>
      <c r="B299">
        <v>4.3294162712327484</v>
      </c>
      <c r="C299">
        <v>0.78768788542189139</v>
      </c>
    </row>
    <row r="300" spans="1:3">
      <c r="A300">
        <v>274</v>
      </c>
      <c r="B300">
        <v>4.7336739318324126</v>
      </c>
      <c r="C300">
        <v>1.0196872827273085</v>
      </c>
    </row>
    <row r="301" spans="1:3">
      <c r="A301">
        <v>275</v>
      </c>
      <c r="B301">
        <v>4.1802371742312463</v>
      </c>
      <c r="C301">
        <v>0.53201561268160447</v>
      </c>
    </row>
    <row r="302" spans="1:3">
      <c r="A302">
        <v>276</v>
      </c>
      <c r="B302">
        <v>4.8516410138685373</v>
      </c>
      <c r="C302">
        <v>0.81509449512404597</v>
      </c>
    </row>
    <row r="303" spans="1:3">
      <c r="A303">
        <v>277</v>
      </c>
      <c r="B303">
        <v>4.9051433688659998</v>
      </c>
      <c r="C303">
        <v>0.37313166566469569</v>
      </c>
    </row>
    <row r="304" spans="1:3">
      <c r="A304">
        <v>278</v>
      </c>
      <c r="B304">
        <v>4.4038707196211178</v>
      </c>
      <c r="C304">
        <v>0.53134765762355141</v>
      </c>
    </row>
    <row r="305" spans="1:3">
      <c r="A305">
        <v>279</v>
      </c>
      <c r="B305">
        <v>4.7340600023791319</v>
      </c>
      <c r="C305">
        <v>-0.92539828521649703</v>
      </c>
    </row>
    <row r="306" spans="1:3">
      <c r="A306">
        <v>280</v>
      </c>
      <c r="B306">
        <v>5.0876878687218561</v>
      </c>
      <c r="C306">
        <v>0.69543148975999536</v>
      </c>
    </row>
    <row r="307" spans="1:3">
      <c r="A307">
        <v>281</v>
      </c>
      <c r="B307">
        <v>4.5142984916416564</v>
      </c>
      <c r="C307">
        <v>0.64795294200742415</v>
      </c>
    </row>
    <row r="308" spans="1:3">
      <c r="A308">
        <v>282</v>
      </c>
      <c r="B308">
        <v>4.3780524410291921</v>
      </c>
      <c r="C308">
        <v>-0.27993945872290826</v>
      </c>
    </row>
    <row r="309" spans="1:3">
      <c r="A309">
        <v>283</v>
      </c>
      <c r="B309">
        <v>4.3532476865493228</v>
      </c>
      <c r="C309">
        <v>-0.68621201764876405</v>
      </c>
    </row>
    <row r="310" spans="1:3">
      <c r="A310">
        <v>284</v>
      </c>
      <c r="B310">
        <v>4.5944798601944141</v>
      </c>
      <c r="C310">
        <v>-0.26827308748519041</v>
      </c>
    </row>
    <row r="311" spans="1:3">
      <c r="A311">
        <v>285</v>
      </c>
      <c r="B311">
        <v>4.9272369995887022</v>
      </c>
      <c r="C311">
        <v>-0.59219487703904328</v>
      </c>
    </row>
    <row r="312" spans="1:3">
      <c r="A312">
        <v>286</v>
      </c>
      <c r="B312">
        <v>4.8198275459923492</v>
      </c>
      <c r="C312">
        <v>0.22526154399536047</v>
      </c>
    </row>
    <row r="313" spans="1:3">
      <c r="A313">
        <v>287</v>
      </c>
      <c r="B313">
        <v>4.6036091096149905</v>
      </c>
      <c r="C313">
        <v>-0.87802417536242094</v>
      </c>
    </row>
    <row r="314" spans="1:3">
      <c r="A314">
        <v>288</v>
      </c>
      <c r="B314">
        <v>4.3403718719434625</v>
      </c>
      <c r="C314">
        <v>0.93445062683777902</v>
      </c>
    </row>
    <row r="315" spans="1:3">
      <c r="A315">
        <v>289</v>
      </c>
      <c r="B315">
        <v>4.5348085662039184</v>
      </c>
      <c r="C315">
        <v>0.59614151541144</v>
      </c>
    </row>
    <row r="316" spans="1:3">
      <c r="A316">
        <v>290</v>
      </c>
      <c r="B316">
        <v>4.3797599948886354</v>
      </c>
      <c r="C316">
        <v>0.90945383162382853</v>
      </c>
    </row>
    <row r="317" spans="1:3">
      <c r="A317">
        <v>291</v>
      </c>
      <c r="B317">
        <v>3.9175080886572053</v>
      </c>
      <c r="C317">
        <v>0.6640235517770976</v>
      </c>
    </row>
    <row r="318" spans="1:3">
      <c r="A318">
        <v>292</v>
      </c>
      <c r="B318">
        <v>4.9017771178555876</v>
      </c>
      <c r="C318">
        <v>0.61167852486381769</v>
      </c>
    </row>
    <row r="319" spans="1:3">
      <c r="A319">
        <v>293</v>
      </c>
      <c r="B319">
        <v>4.7714458970044902</v>
      </c>
      <c r="C319">
        <v>0.20383531055756521</v>
      </c>
    </row>
    <row r="320" spans="1:3">
      <c r="A320">
        <v>294</v>
      </c>
      <c r="B320">
        <v>4.7562740340425753</v>
      </c>
      <c r="C320">
        <v>-0.48997476614205038</v>
      </c>
    </row>
    <row r="321" spans="1:3">
      <c r="A321">
        <v>295</v>
      </c>
      <c r="B321">
        <v>4.5962565528780921</v>
      </c>
      <c r="C321">
        <v>-9.6770131796468206E-2</v>
      </c>
    </row>
    <row r="322" spans="1:3">
      <c r="A322">
        <v>296</v>
      </c>
      <c r="B322">
        <v>4.7001093858744198</v>
      </c>
      <c r="C322">
        <v>-0.49285686802375039</v>
      </c>
    </row>
    <row r="323" spans="1:3">
      <c r="A323">
        <v>297</v>
      </c>
      <c r="B323">
        <v>4.6435716331280599</v>
      </c>
      <c r="C323">
        <v>0.94463591874373698</v>
      </c>
    </row>
    <row r="324" spans="1:3">
      <c r="A324">
        <v>298</v>
      </c>
      <c r="B324">
        <v>4.7753681816661935</v>
      </c>
      <c r="C324">
        <v>-0.38208093522082986</v>
      </c>
    </row>
    <row r="325" spans="1:3">
      <c r="A325">
        <v>299</v>
      </c>
      <c r="B325">
        <v>4.4645577954410403</v>
      </c>
      <c r="C325">
        <v>0.18115632212681199</v>
      </c>
    </row>
    <row r="326" spans="1:3">
      <c r="A326">
        <v>300</v>
      </c>
      <c r="B326">
        <v>5.2915371186967803</v>
      </c>
      <c r="C326">
        <v>-0.76017742032552693</v>
      </c>
    </row>
    <row r="327" spans="1:3">
      <c r="A327">
        <v>301</v>
      </c>
      <c r="B327">
        <v>4.672817489241976</v>
      </c>
      <c r="C327">
        <v>-0.45556340018857799</v>
      </c>
    </row>
    <row r="328" spans="1:3">
      <c r="A328">
        <v>302</v>
      </c>
      <c r="B328">
        <v>4.3281071812286633</v>
      </c>
      <c r="C328">
        <v>2.2489043592566205E-2</v>
      </c>
    </row>
    <row r="329" spans="1:3">
      <c r="A329">
        <v>303</v>
      </c>
      <c r="B329">
        <v>4.7876361333082649</v>
      </c>
      <c r="C329">
        <v>-0.44087915504231479</v>
      </c>
    </row>
    <row r="330" spans="1:3">
      <c r="A330">
        <v>304</v>
      </c>
      <c r="B330">
        <v>4.0241784614993161</v>
      </c>
      <c r="C330">
        <v>0.26401233337349694</v>
      </c>
    </row>
    <row r="331" spans="1:3">
      <c r="A331">
        <v>305</v>
      </c>
      <c r="B331">
        <v>4.5921863424970821</v>
      </c>
      <c r="C331">
        <v>-0.32954382329114473</v>
      </c>
    </row>
    <row r="332" spans="1:3">
      <c r="A332">
        <v>306</v>
      </c>
      <c r="B332">
        <v>5.253829515512523</v>
      </c>
      <c r="C332">
        <v>0.67457803636893043</v>
      </c>
    </row>
    <row r="333" spans="1:3">
      <c r="A333">
        <v>307</v>
      </c>
      <c r="B333">
        <v>4.2773664414584349</v>
      </c>
      <c r="C333">
        <v>0.26036843698290912</v>
      </c>
    </row>
    <row r="334" spans="1:3">
      <c r="A334">
        <v>308</v>
      </c>
      <c r="B334">
        <v>4.2886047421604445</v>
      </c>
      <c r="C334">
        <v>-0.44789081773441275</v>
      </c>
    </row>
    <row r="335" spans="1:3">
      <c r="A335">
        <v>309</v>
      </c>
      <c r="B335">
        <v>4.280624996184816</v>
      </c>
      <c r="C335">
        <v>0.26875586846442978</v>
      </c>
    </row>
    <row r="336" spans="1:3">
      <c r="A336">
        <v>310</v>
      </c>
      <c r="B336">
        <v>4.0678783504152909</v>
      </c>
      <c r="C336">
        <v>0.41273059618094177</v>
      </c>
    </row>
    <row r="337" spans="1:3">
      <c r="A337">
        <v>311</v>
      </c>
      <c r="B337">
        <v>4.6575299542703155</v>
      </c>
      <c r="C337">
        <v>-0.20039068547730476</v>
      </c>
    </row>
    <row r="338" spans="1:3">
      <c r="A338">
        <v>312</v>
      </c>
      <c r="B338">
        <v>4.4845878486872808</v>
      </c>
      <c r="C338">
        <v>-0.34972138336571756</v>
      </c>
    </row>
    <row r="339" spans="1:3">
      <c r="A339">
        <v>313</v>
      </c>
      <c r="B339">
        <v>4.9970339945878255</v>
      </c>
      <c r="C339">
        <v>-0.78124681230677417</v>
      </c>
    </row>
    <row r="340" spans="1:3">
      <c r="A340">
        <v>314</v>
      </c>
      <c r="B340">
        <v>4.4370586957434055</v>
      </c>
      <c r="C340">
        <v>-0.66267002045499979</v>
      </c>
    </row>
    <row r="341" spans="1:3">
      <c r="A341">
        <v>315</v>
      </c>
      <c r="B341">
        <v>5.1745510754055157</v>
      </c>
      <c r="C341">
        <v>-1.0306575272855447</v>
      </c>
    </row>
    <row r="342" spans="1:3">
      <c r="A342">
        <v>316</v>
      </c>
      <c r="B342">
        <v>4.698134675014451</v>
      </c>
      <c r="C342">
        <v>0.65173059366340702</v>
      </c>
    </row>
    <row r="343" spans="1:3">
      <c r="A343">
        <v>317</v>
      </c>
      <c r="B343">
        <v>4.6121501115559242</v>
      </c>
      <c r="C343">
        <v>0.46041814147172921</v>
      </c>
    </row>
    <row r="344" spans="1:3">
      <c r="A344">
        <v>318</v>
      </c>
      <c r="B344">
        <v>5.4490827016010854</v>
      </c>
      <c r="C344">
        <v>0.83959402075972633</v>
      </c>
    </row>
    <row r="345" spans="1:3">
      <c r="A345">
        <v>319</v>
      </c>
      <c r="B345">
        <v>5.4356920220185652</v>
      </c>
      <c r="C345">
        <v>-0.7993900495914632</v>
      </c>
    </row>
    <row r="346" spans="1:3">
      <c r="A346">
        <v>320</v>
      </c>
      <c r="B346">
        <v>4.5065443685427322</v>
      </c>
      <c r="C346">
        <v>1.1725387094250195E-2</v>
      </c>
    </row>
    <row r="347" spans="1:3">
      <c r="A347">
        <v>321</v>
      </c>
      <c r="B347">
        <v>4.2979728109716184</v>
      </c>
      <c r="C347">
        <v>0.57432437329704911</v>
      </c>
    </row>
    <row r="348" spans="1:3">
      <c r="A348">
        <v>322</v>
      </c>
      <c r="B348">
        <v>4.5659660034563743</v>
      </c>
      <c r="C348">
        <v>-0.31997079544790896</v>
      </c>
    </row>
    <row r="349" spans="1:3">
      <c r="A349">
        <v>323</v>
      </c>
      <c r="B349">
        <v>5.1958522225860397</v>
      </c>
      <c r="C349">
        <v>-0.48851941412909294</v>
      </c>
    </row>
    <row r="350" spans="1:3">
      <c r="A350">
        <v>324</v>
      </c>
      <c r="B350">
        <v>4.2124375460151713</v>
      </c>
      <c r="C350">
        <v>0.25755976806098602</v>
      </c>
    </row>
    <row r="351" spans="1:3">
      <c r="A351">
        <v>325</v>
      </c>
      <c r="B351">
        <v>5.1505306795810473</v>
      </c>
      <c r="C351">
        <v>0.19934967188598307</v>
      </c>
    </row>
    <row r="352" spans="1:3">
      <c r="A352">
        <v>326</v>
      </c>
      <c r="B352">
        <v>4.738794289924269</v>
      </c>
      <c r="C352">
        <v>0.89253798600224865</v>
      </c>
    </row>
    <row r="353" spans="1:3">
      <c r="A353">
        <v>327</v>
      </c>
      <c r="B353">
        <v>4.9500589175475769</v>
      </c>
      <c r="C353">
        <v>5.0401114321476648E-2</v>
      </c>
    </row>
    <row r="354" spans="1:3">
      <c r="A354">
        <v>328</v>
      </c>
      <c r="B354">
        <v>4.5454697505868662</v>
      </c>
      <c r="C354">
        <v>-0.71920735342821196</v>
      </c>
    </row>
    <row r="355" spans="1:3">
      <c r="A355">
        <v>329</v>
      </c>
      <c r="B355">
        <v>4.7633666931824807</v>
      </c>
      <c r="C355">
        <v>-0.29434741615206761</v>
      </c>
    </row>
    <row r="356" spans="1:3">
      <c r="A356">
        <v>330</v>
      </c>
      <c r="B356">
        <v>4.8062630294866358</v>
      </c>
      <c r="C356">
        <v>-0.55792890479235702</v>
      </c>
    </row>
    <row r="357" spans="1:3">
      <c r="A357">
        <v>331</v>
      </c>
      <c r="B357">
        <v>4.5812370835524021</v>
      </c>
      <c r="C357">
        <v>3.4546339165430595E-2</v>
      </c>
    </row>
    <row r="358" spans="1:3">
      <c r="A358">
        <v>332</v>
      </c>
      <c r="B358">
        <v>4.7388917711710032</v>
      </c>
      <c r="C358">
        <v>-1.0027184136850664E-2</v>
      </c>
    </row>
    <row r="359" spans="1:3">
      <c r="A359">
        <v>333</v>
      </c>
      <c r="B359">
        <v>4.5845214826223293</v>
      </c>
      <c r="C359">
        <v>-0.89849246201953425</v>
      </c>
    </row>
    <row r="360" spans="1:3">
      <c r="A360">
        <v>334</v>
      </c>
      <c r="B360">
        <v>4.8335945188041247</v>
      </c>
      <c r="C360">
        <v>0.70041628153393276</v>
      </c>
    </row>
    <row r="361" spans="1:3">
      <c r="A361">
        <v>335</v>
      </c>
      <c r="B361">
        <v>4.5347273957274092</v>
      </c>
      <c r="C361">
        <v>-0.6472663180155287</v>
      </c>
    </row>
    <row r="362" spans="1:3">
      <c r="A362">
        <v>336</v>
      </c>
      <c r="B362">
        <v>4.2017938609431198</v>
      </c>
      <c r="C362">
        <v>0.70863144097014619</v>
      </c>
    </row>
    <row r="363" spans="1:3">
      <c r="A363">
        <v>337</v>
      </c>
      <c r="B363">
        <v>4.5585863797669521</v>
      </c>
      <c r="C363">
        <v>0.16465637501144847</v>
      </c>
    </row>
    <row r="364" spans="1:3">
      <c r="A364">
        <v>338</v>
      </c>
      <c r="B364">
        <v>5.1032791823288903</v>
      </c>
      <c r="C364">
        <v>-8.7990440254356095E-2</v>
      </c>
    </row>
    <row r="365" spans="1:3">
      <c r="A365">
        <v>339</v>
      </c>
      <c r="B365">
        <v>4.7811832841882005</v>
      </c>
      <c r="C365">
        <v>-0.33293684934662693</v>
      </c>
    </row>
    <row r="366" spans="1:3">
      <c r="A366">
        <v>340</v>
      </c>
      <c r="B366">
        <v>4.5030969377589622</v>
      </c>
      <c r="C366">
        <v>-0.78880274521394256</v>
      </c>
    </row>
    <row r="367" spans="1:3">
      <c r="A367">
        <v>341</v>
      </c>
      <c r="B367">
        <v>4.2946706090558191</v>
      </c>
      <c r="C367">
        <v>0.38683280204248849</v>
      </c>
    </row>
    <row r="368" spans="1:3">
      <c r="A368">
        <v>342</v>
      </c>
      <c r="B368">
        <v>5.0170676777709069</v>
      </c>
      <c r="C368">
        <v>-0.83188057993135178</v>
      </c>
    </row>
    <row r="369" spans="1:3">
      <c r="A369">
        <v>343</v>
      </c>
      <c r="B369">
        <v>4.6051498914939151</v>
      </c>
      <c r="C369">
        <v>-0.72680633480747314</v>
      </c>
    </row>
    <row r="370" spans="1:3">
      <c r="A370">
        <v>344</v>
      </c>
      <c r="B370">
        <v>4.3947710184495525</v>
      </c>
      <c r="C370">
        <v>-0.37004458037488863</v>
      </c>
    </row>
    <row r="371" spans="1:3">
      <c r="A371">
        <v>345</v>
      </c>
      <c r="B371">
        <v>4.9594815238300445</v>
      </c>
      <c r="C371">
        <v>0.80446198761614696</v>
      </c>
    </row>
    <row r="372" spans="1:3">
      <c r="A372">
        <v>346</v>
      </c>
      <c r="B372">
        <v>4.6876467630617444</v>
      </c>
      <c r="C372">
        <v>-0.61140369318559618</v>
      </c>
    </row>
    <row r="373" spans="1:3">
      <c r="A373">
        <v>347</v>
      </c>
      <c r="B373">
        <v>4.3448670278316159</v>
      </c>
      <c r="C373">
        <v>0.53257231593938226</v>
      </c>
    </row>
    <row r="374" spans="1:3">
      <c r="A374">
        <v>348</v>
      </c>
      <c r="B374">
        <v>4.3580518839326015</v>
      </c>
      <c r="C374">
        <v>-1.4515638922585339E-4</v>
      </c>
    </row>
    <row r="375" spans="1:3">
      <c r="A375">
        <v>349</v>
      </c>
      <c r="B375">
        <v>4.4596025781871553</v>
      </c>
      <c r="C375">
        <v>0.6171954757166489</v>
      </c>
    </row>
    <row r="376" spans="1:3">
      <c r="A376">
        <v>350</v>
      </c>
      <c r="B376">
        <v>4.6820172290955062</v>
      </c>
      <c r="C376">
        <v>-0.35509453773101907</v>
      </c>
    </row>
    <row r="377" spans="1:3">
      <c r="A377">
        <v>351</v>
      </c>
      <c r="B377">
        <v>4.5653450820458472</v>
      </c>
      <c r="C377">
        <v>2.4216342199156138E-2</v>
      </c>
    </row>
    <row r="378" spans="1:3">
      <c r="A378">
        <v>352</v>
      </c>
      <c r="B378">
        <v>4.4775443665257759</v>
      </c>
      <c r="C378">
        <v>7.5516298452743769E-2</v>
      </c>
    </row>
    <row r="379" spans="1:3">
      <c r="A379">
        <v>353</v>
      </c>
      <c r="B379">
        <v>4.5496587783728168</v>
      </c>
      <c r="C379">
        <v>0.45584848766438579</v>
      </c>
    </row>
    <row r="380" spans="1:3">
      <c r="A380">
        <v>354</v>
      </c>
      <c r="B380">
        <v>5.0424798435980378</v>
      </c>
      <c r="C380">
        <v>4.9755246515427842E-2</v>
      </c>
    </row>
    <row r="381" spans="1:3">
      <c r="A381">
        <v>355</v>
      </c>
      <c r="B381">
        <v>4.7672932898035967</v>
      </c>
      <c r="C381">
        <v>0.20612294060263991</v>
      </c>
    </row>
    <row r="382" spans="1:3">
      <c r="A382">
        <v>356</v>
      </c>
      <c r="B382">
        <v>4.5634715618187514</v>
      </c>
      <c r="C382">
        <v>0.31352889788241267</v>
      </c>
    </row>
    <row r="383" spans="1:3">
      <c r="A383">
        <v>357</v>
      </c>
      <c r="B383">
        <v>4.0953522754066407</v>
      </c>
      <c r="C383">
        <v>-0.54867969073320211</v>
      </c>
    </row>
    <row r="384" spans="1:3">
      <c r="A384">
        <v>358</v>
      </c>
      <c r="B384">
        <v>3.871800211655148</v>
      </c>
      <c r="C384">
        <v>-0.59329339653378543</v>
      </c>
    </row>
    <row r="385" spans="1:3">
      <c r="A385">
        <v>359</v>
      </c>
      <c r="B385">
        <v>4.0456298749769424</v>
      </c>
      <c r="C385">
        <v>1.0980549280205469</v>
      </c>
    </row>
    <row r="386" spans="1:3">
      <c r="A386">
        <v>360</v>
      </c>
      <c r="B386">
        <v>4.862532693611799</v>
      </c>
      <c r="C386">
        <v>-0.96332375522851343</v>
      </c>
    </row>
    <row r="387" spans="1:3">
      <c r="A387">
        <v>361</v>
      </c>
      <c r="B387">
        <v>4.4986767053299452</v>
      </c>
      <c r="C387">
        <v>0.86600081388295269</v>
      </c>
    </row>
    <row r="388" spans="1:3">
      <c r="A388">
        <v>362</v>
      </c>
      <c r="B388">
        <v>4.5461465220354231</v>
      </c>
      <c r="C388">
        <v>0.259458746797951</v>
      </c>
    </row>
    <row r="389" spans="1:3">
      <c r="A389">
        <v>363</v>
      </c>
      <c r="B389">
        <v>4.7247096178017243</v>
      </c>
      <c r="C389">
        <v>-0.28885547687672908</v>
      </c>
    </row>
    <row r="390" spans="1:3">
      <c r="A390">
        <v>364</v>
      </c>
      <c r="B390">
        <v>3.986166674770923</v>
      </c>
      <c r="C390">
        <v>0.46271357518876899</v>
      </c>
    </row>
    <row r="391" spans="1:3">
      <c r="A391">
        <v>365</v>
      </c>
      <c r="B391">
        <v>4.6246232309391422</v>
      </c>
      <c r="C391">
        <v>-0.88793947880316448</v>
      </c>
    </row>
    <row r="392" spans="1:3">
      <c r="A392">
        <v>366</v>
      </c>
      <c r="B392">
        <v>4.6300705340997927</v>
      </c>
      <c r="C392">
        <v>-3.0709675272215797E-2</v>
      </c>
    </row>
    <row r="393" spans="1:3">
      <c r="A393">
        <v>367</v>
      </c>
      <c r="B393">
        <v>4.6772986850174743</v>
      </c>
      <c r="C393">
        <v>0.27789292910486907</v>
      </c>
    </row>
    <row r="394" spans="1:3">
      <c r="A394">
        <v>368</v>
      </c>
      <c r="B394">
        <v>4.4151787674135949</v>
      </c>
      <c r="C394">
        <v>0.59447248193314639</v>
      </c>
    </row>
    <row r="395" spans="1:3">
      <c r="A395">
        <v>369</v>
      </c>
      <c r="B395">
        <v>4.6817916925827925</v>
      </c>
      <c r="C395">
        <v>0.80983574507619593</v>
      </c>
    </row>
    <row r="396" spans="1:3">
      <c r="A396">
        <v>370</v>
      </c>
      <c r="B396">
        <v>4.8403812399360113</v>
      </c>
      <c r="C396">
        <v>0.14540418882421946</v>
      </c>
    </row>
    <row r="397" spans="1:3">
      <c r="A397">
        <v>371</v>
      </c>
      <c r="B397">
        <v>4.2317942189691973</v>
      </c>
      <c r="C397">
        <v>-0.57657378965888917</v>
      </c>
    </row>
    <row r="398" spans="1:3">
      <c r="A398">
        <v>372</v>
      </c>
      <c r="B398">
        <v>4.7489396189664426</v>
      </c>
      <c r="C398">
        <v>-4.4927176486943665E-2</v>
      </c>
    </row>
    <row r="399" spans="1:3">
      <c r="A399">
        <v>373</v>
      </c>
      <c r="B399">
        <v>4.4771755366287627</v>
      </c>
      <c r="C399">
        <v>-0.45326967003641805</v>
      </c>
    </row>
    <row r="400" spans="1:3">
      <c r="A400">
        <v>374</v>
      </c>
      <c r="B400">
        <v>4.4040322854549796</v>
      </c>
      <c r="C400">
        <v>-0.64981001332844546</v>
      </c>
    </row>
    <row r="401" spans="1:3">
      <c r="A401">
        <v>375</v>
      </c>
      <c r="B401">
        <v>4.7312188456845012</v>
      </c>
      <c r="C401">
        <v>-0.15543589833990978</v>
      </c>
    </row>
    <row r="402" spans="1:3">
      <c r="A402">
        <v>376</v>
      </c>
      <c r="B402">
        <v>4.5748357999192111</v>
      </c>
      <c r="C402">
        <v>0.43737352290477727</v>
      </c>
    </row>
    <row r="403" spans="1:3">
      <c r="A403">
        <v>377</v>
      </c>
      <c r="B403">
        <v>4.5473722571253568</v>
      </c>
      <c r="C403">
        <v>0.69251252684179754</v>
      </c>
    </row>
    <row r="404" spans="1:3">
      <c r="A404">
        <v>378</v>
      </c>
      <c r="B404">
        <v>5.1160121586404363</v>
      </c>
      <c r="C404">
        <v>0.6923337673118235</v>
      </c>
    </row>
    <row r="405" spans="1:3">
      <c r="A405">
        <v>379</v>
      </c>
      <c r="B405">
        <v>5.128081977751811</v>
      </c>
      <c r="C405">
        <v>-0.71717495002309839</v>
      </c>
    </row>
    <row r="406" spans="1:3">
      <c r="A406">
        <v>380</v>
      </c>
      <c r="B406">
        <v>4.7784983462984911</v>
      </c>
      <c r="C406">
        <v>-0.16675959224596504</v>
      </c>
    </row>
    <row r="407" spans="1:3">
      <c r="A407">
        <v>381</v>
      </c>
      <c r="B407">
        <v>4.2171160294429111</v>
      </c>
      <c r="C407">
        <v>-0.1165968468234917</v>
      </c>
    </row>
    <row r="408" spans="1:3">
      <c r="A408">
        <v>382</v>
      </c>
      <c r="B408">
        <v>4.579371047227208</v>
      </c>
      <c r="C408">
        <v>-0.18108124844906826</v>
      </c>
    </row>
    <row r="409" spans="1:3">
      <c r="A409">
        <v>383</v>
      </c>
      <c r="B409">
        <v>4.6477014411009261</v>
      </c>
      <c r="C409">
        <v>0.66946803663093135</v>
      </c>
    </row>
    <row r="410" spans="1:3">
      <c r="A410">
        <v>384</v>
      </c>
      <c r="B410">
        <v>4.8700283883910451</v>
      </c>
      <c r="C410">
        <v>0.88299986259323404</v>
      </c>
    </row>
    <row r="411" spans="1:3">
      <c r="A411">
        <v>385</v>
      </c>
      <c r="B411">
        <v>5.0211431808205234</v>
      </c>
      <c r="C411">
        <v>0.16966598806919464</v>
      </c>
    </row>
    <row r="412" spans="1:3">
      <c r="A412">
        <v>386</v>
      </c>
      <c r="B412">
        <v>4.7449010190848346</v>
      </c>
      <c r="C412">
        <v>-0.15521034460834482</v>
      </c>
    </row>
    <row r="413" spans="1:3">
      <c r="A413">
        <v>387</v>
      </c>
      <c r="B413">
        <v>4.5089910188832869</v>
      </c>
      <c r="C413">
        <v>0.95760754274121052</v>
      </c>
    </row>
    <row r="414" spans="1:3">
      <c r="A414">
        <v>388</v>
      </c>
      <c r="B414">
        <v>4.4999763149406391</v>
      </c>
      <c r="C414">
        <v>-0.40155396328518833</v>
      </c>
    </row>
    <row r="415" spans="1:3">
      <c r="A415">
        <v>389</v>
      </c>
      <c r="B415">
        <v>4.5683502731063959</v>
      </c>
      <c r="C415">
        <v>0.40080691525602585</v>
      </c>
    </row>
    <row r="416" spans="1:3">
      <c r="A416">
        <v>390</v>
      </c>
      <c r="B416">
        <v>4.6108508280123273</v>
      </c>
      <c r="C416">
        <v>-0.39813568044265679</v>
      </c>
    </row>
    <row r="417" spans="1:3">
      <c r="A417">
        <v>391</v>
      </c>
      <c r="B417">
        <v>4.5816591602004211</v>
      </c>
      <c r="C417">
        <v>-0.88494128319072329</v>
      </c>
    </row>
    <row r="418" spans="1:3">
      <c r="A418">
        <v>392</v>
      </c>
      <c r="B418">
        <v>4.7774189400894107</v>
      </c>
      <c r="C418">
        <v>-0.24696139031827702</v>
      </c>
    </row>
    <row r="419" spans="1:3">
      <c r="A419">
        <v>393</v>
      </c>
      <c r="B419">
        <v>4.558099929758078</v>
      </c>
      <c r="C419">
        <v>-0.34482261798004998</v>
      </c>
    </row>
    <row r="420" spans="1:3">
      <c r="A420">
        <v>394</v>
      </c>
      <c r="B420">
        <v>4.7810261019688607</v>
      </c>
      <c r="C420">
        <v>0.34421655762989634</v>
      </c>
    </row>
    <row r="421" spans="1:3">
      <c r="A421">
        <v>395</v>
      </c>
      <c r="B421">
        <v>4.2447934512467054</v>
      </c>
      <c r="C421">
        <v>-2.386884654371535E-3</v>
      </c>
    </row>
    <row r="422" spans="1:3">
      <c r="A422">
        <v>396</v>
      </c>
      <c r="B422">
        <v>4.7652312986771763</v>
      </c>
      <c r="C422">
        <v>0.52388929752888558</v>
      </c>
    </row>
    <row r="423" spans="1:3">
      <c r="A423">
        <v>397</v>
      </c>
      <c r="B423">
        <v>4.5156319269505047</v>
      </c>
      <c r="C423">
        <v>0.70488851951338383</v>
      </c>
    </row>
    <row r="424" spans="1:3">
      <c r="A424">
        <v>398</v>
      </c>
      <c r="B424">
        <v>5.0445113821831864</v>
      </c>
      <c r="C424">
        <v>-2.5339785623953226E-2</v>
      </c>
    </row>
    <row r="425" spans="1:3">
      <c r="A425">
        <v>399</v>
      </c>
      <c r="B425">
        <v>4.7716842944809539</v>
      </c>
      <c r="C425">
        <v>-0.87768822615753006</v>
      </c>
    </row>
    <row r="426" spans="1:3">
      <c r="A426">
        <v>400</v>
      </c>
      <c r="B426">
        <v>4.3239690843944256</v>
      </c>
      <c r="C426">
        <v>-0.93882974482154591</v>
      </c>
    </row>
    <row r="427" spans="1:3">
      <c r="A427">
        <v>401</v>
      </c>
      <c r="B427">
        <v>4.3435826137979667</v>
      </c>
      <c r="C427">
        <v>0.73769244071874418</v>
      </c>
    </row>
    <row r="428" spans="1:3">
      <c r="A428">
        <v>402</v>
      </c>
      <c r="B428">
        <v>4.1975673826784652</v>
      </c>
      <c r="C428">
        <v>-0.54683089383651806</v>
      </c>
    </row>
    <row r="429" spans="1:3">
      <c r="A429">
        <v>403</v>
      </c>
      <c r="B429">
        <v>4.9900964321110823</v>
      </c>
      <c r="C429">
        <v>0.46641399276012852</v>
      </c>
    </row>
    <row r="430" spans="1:3">
      <c r="A430">
        <v>404</v>
      </c>
      <c r="B430">
        <v>4.8214360151849993</v>
      </c>
      <c r="C430">
        <v>0.70809734789063139</v>
      </c>
    </row>
    <row r="431" spans="1:3">
      <c r="A431">
        <v>405</v>
      </c>
      <c r="B431">
        <v>4.9656801468515352</v>
      </c>
      <c r="C431">
        <v>-1.0081619623694946</v>
      </c>
    </row>
    <row r="432" spans="1:3">
      <c r="A432">
        <v>406</v>
      </c>
      <c r="B432">
        <v>4.5224497307409122</v>
      </c>
      <c r="C432">
        <v>0.19046840237933438</v>
      </c>
    </row>
    <row r="433" spans="1:3">
      <c r="A433">
        <v>407</v>
      </c>
      <c r="B433">
        <v>4.6710336262912318</v>
      </c>
      <c r="C433">
        <v>0.77132537119883615</v>
      </c>
    </row>
    <row r="434" spans="1:3">
      <c r="A434">
        <v>408</v>
      </c>
      <c r="B434">
        <v>4.7355933185873234</v>
      </c>
      <c r="C434">
        <v>0.49656849032624173</v>
      </c>
    </row>
    <row r="435" spans="1:3">
      <c r="A435">
        <v>409</v>
      </c>
      <c r="B435">
        <v>5.0661196778134254</v>
      </c>
      <c r="C435">
        <v>-0.62551328403468531</v>
      </c>
    </row>
    <row r="436" spans="1:3">
      <c r="A436">
        <v>410</v>
      </c>
      <c r="B436">
        <v>4.4859982412907806</v>
      </c>
      <c r="C436">
        <v>0.97464968896783066</v>
      </c>
    </row>
    <row r="437" spans="1:3">
      <c r="A437">
        <v>411</v>
      </c>
      <c r="B437">
        <v>5.036384806169961</v>
      </c>
      <c r="C437">
        <v>-3.1418451378288914E-2</v>
      </c>
    </row>
    <row r="438" spans="1:3">
      <c r="A438">
        <v>412</v>
      </c>
      <c r="B438">
        <v>5.1552505119942484</v>
      </c>
      <c r="C438">
        <v>0.51481062681524747</v>
      </c>
    </row>
    <row r="439" spans="1:3">
      <c r="A439">
        <v>413</v>
      </c>
      <c r="B439">
        <v>4.1886580149845951</v>
      </c>
      <c r="C439">
        <v>0.78829818082515501</v>
      </c>
    </row>
    <row r="440" spans="1:3">
      <c r="A440">
        <v>414</v>
      </c>
      <c r="B440">
        <v>4.3133286388029415</v>
      </c>
      <c r="C440">
        <v>0.89393810136429508</v>
      </c>
    </row>
    <row r="441" spans="1:3">
      <c r="A441">
        <v>415</v>
      </c>
      <c r="B441">
        <v>4.7950118735122853</v>
      </c>
      <c r="C441">
        <v>-0.77628383282331992</v>
      </c>
    </row>
    <row r="442" spans="1:3">
      <c r="A442">
        <v>416</v>
      </c>
      <c r="B442">
        <v>4.8644499907909458</v>
      </c>
      <c r="C442">
        <v>0.19228087282118089</v>
      </c>
    </row>
    <row r="443" spans="1:3">
      <c r="A443">
        <v>417</v>
      </c>
      <c r="B443">
        <v>4.6236720117222756</v>
      </c>
      <c r="C443">
        <v>0.92865983805956454</v>
      </c>
    </row>
    <row r="444" spans="1:3">
      <c r="A444">
        <v>418</v>
      </c>
      <c r="B444">
        <v>4.6315376775537516</v>
      </c>
      <c r="C444">
        <v>-0.84851085148389283</v>
      </c>
    </row>
    <row r="445" spans="1:3">
      <c r="A445">
        <v>419</v>
      </c>
      <c r="B445">
        <v>4.6968517001024699</v>
      </c>
      <c r="C445">
        <v>0.41717922178466704</v>
      </c>
    </row>
    <row r="446" spans="1:3">
      <c r="A446">
        <v>420</v>
      </c>
      <c r="B446">
        <v>4.5698326459615934</v>
      </c>
      <c r="C446">
        <v>4.6369188376567116E-2</v>
      </c>
    </row>
    <row r="447" spans="1:3">
      <c r="A447">
        <v>421</v>
      </c>
      <c r="B447">
        <v>4.6094840196414149</v>
      </c>
      <c r="C447">
        <v>0.51506551541954781</v>
      </c>
    </row>
    <row r="448" spans="1:3">
      <c r="A448">
        <v>422</v>
      </c>
      <c r="B448">
        <v>4.3533328876483086</v>
      </c>
      <c r="C448">
        <v>0.37372278106573553</v>
      </c>
    </row>
    <row r="449" spans="1:3">
      <c r="A449">
        <v>423</v>
      </c>
      <c r="B449">
        <v>4.7518637848649492</v>
      </c>
      <c r="C449">
        <v>-0.51231206898699089</v>
      </c>
    </row>
    <row r="450" spans="1:3">
      <c r="A450">
        <v>424</v>
      </c>
      <c r="B450">
        <v>4.7017648151002316</v>
      </c>
      <c r="C450">
        <v>0.69047379648656637</v>
      </c>
    </row>
    <row r="451" spans="1:3">
      <c r="A451">
        <v>425</v>
      </c>
      <c r="B451">
        <v>4.0569061616348394</v>
      </c>
      <c r="C451">
        <v>-1.1343333810237253</v>
      </c>
    </row>
    <row r="452" spans="1:3">
      <c r="A452">
        <v>426</v>
      </c>
      <c r="B452">
        <v>4.6675276717046863</v>
      </c>
      <c r="C452">
        <v>2.1049721518595632E-3</v>
      </c>
    </row>
    <row r="453" spans="1:3">
      <c r="A453">
        <v>427</v>
      </c>
      <c r="B453">
        <v>3.9733569315221287</v>
      </c>
      <c r="C453">
        <v>-0.72328618566385305</v>
      </c>
    </row>
    <row r="454" spans="1:3">
      <c r="A454">
        <v>428</v>
      </c>
      <c r="B454">
        <v>4.3520336041047116</v>
      </c>
      <c r="C454">
        <v>-0.28278056313532751</v>
      </c>
    </row>
    <row r="455" spans="1:3">
      <c r="A455">
        <v>429</v>
      </c>
      <c r="B455">
        <v>4.6350238342354535</v>
      </c>
      <c r="C455">
        <v>0.87144467778401946</v>
      </c>
    </row>
    <row r="456" spans="1:3">
      <c r="A456">
        <v>430</v>
      </c>
      <c r="B456">
        <v>4.6330545790833</v>
      </c>
      <c r="C456">
        <v>-5.7289262243024552E-2</v>
      </c>
    </row>
    <row r="457" spans="1:3">
      <c r="A457">
        <v>431</v>
      </c>
      <c r="B457">
        <v>4.4400495631021597</v>
      </c>
      <c r="C457">
        <v>0.84008595466860125</v>
      </c>
    </row>
    <row r="458" spans="1:3">
      <c r="A458">
        <v>432</v>
      </c>
      <c r="B458">
        <v>4.9388926550376642</v>
      </c>
      <c r="C458">
        <v>0.77515586922075741</v>
      </c>
    </row>
    <row r="459" spans="1:3">
      <c r="A459">
        <v>433</v>
      </c>
      <c r="B459">
        <v>5.4096847939227484</v>
      </c>
      <c r="C459">
        <v>0.45358603863769265</v>
      </c>
    </row>
    <row r="460" spans="1:3">
      <c r="A460">
        <v>434</v>
      </c>
      <c r="B460">
        <v>4.9810426123733613</v>
      </c>
      <c r="C460">
        <v>0.29888628890604263</v>
      </c>
    </row>
    <row r="461" spans="1:3">
      <c r="A461">
        <v>435</v>
      </c>
      <c r="B461">
        <v>4.8698412913362263</v>
      </c>
      <c r="C461">
        <v>-0.1924469398913855</v>
      </c>
    </row>
    <row r="462" spans="1:3">
      <c r="A462">
        <v>436</v>
      </c>
      <c r="B462">
        <v>4.3269759946322726</v>
      </c>
      <c r="C462">
        <v>-0.84233669006260659</v>
      </c>
    </row>
    <row r="463" spans="1:3">
      <c r="A463">
        <v>437</v>
      </c>
      <c r="B463">
        <v>5.6431956195317969</v>
      </c>
      <c r="C463">
        <v>-0.96779319277758535</v>
      </c>
    </row>
    <row r="464" spans="1:3">
      <c r="A464">
        <v>438</v>
      </c>
      <c r="B464">
        <v>4.6574992883343231</v>
      </c>
      <c r="C464">
        <v>-0.51317253797092022</v>
      </c>
    </row>
    <row r="465" spans="1:3">
      <c r="A465">
        <v>439</v>
      </c>
      <c r="B465">
        <v>5.0748472732342194</v>
      </c>
      <c r="C465">
        <v>6.5584878210199982E-2</v>
      </c>
    </row>
    <row r="466" spans="1:3">
      <c r="A466">
        <v>440</v>
      </c>
      <c r="B466">
        <v>5.0133663352971265</v>
      </c>
      <c r="C466">
        <v>7.0180426345669567E-2</v>
      </c>
    </row>
    <row r="467" spans="1:3">
      <c r="A467">
        <v>441</v>
      </c>
      <c r="B467">
        <v>4.499520810570683</v>
      </c>
      <c r="C467">
        <v>0.59193469223020756</v>
      </c>
    </row>
    <row r="468" spans="1:3">
      <c r="A468">
        <v>442</v>
      </c>
      <c r="B468">
        <v>4.6660963512412676</v>
      </c>
      <c r="C468">
        <v>0.24847428344482125</v>
      </c>
    </row>
    <row r="469" spans="1:3">
      <c r="A469">
        <v>443</v>
      </c>
      <c r="B469">
        <v>4.2809564201915737</v>
      </c>
      <c r="C469">
        <v>-0.62201039700627447</v>
      </c>
    </row>
    <row r="470" spans="1:3">
      <c r="A470">
        <v>444</v>
      </c>
      <c r="B470">
        <v>5.1578245629302204</v>
      </c>
      <c r="C470">
        <v>-0.13498321685831893</v>
      </c>
    </row>
    <row r="471" spans="1:3">
      <c r="A471">
        <v>445</v>
      </c>
      <c r="B471">
        <v>4.7841440300156837</v>
      </c>
      <c r="C471">
        <v>0.6688006873549508</v>
      </c>
    </row>
    <row r="472" spans="1:3">
      <c r="A472">
        <v>446</v>
      </c>
      <c r="B472">
        <v>4.6821013068252881</v>
      </c>
      <c r="C472">
        <v>0.50640083994107421</v>
      </c>
    </row>
    <row r="473" spans="1:3">
      <c r="A473">
        <v>447</v>
      </c>
      <c r="B473">
        <v>4.1760586775907971</v>
      </c>
      <c r="C473">
        <v>-3.0622941199982989E-2</v>
      </c>
    </row>
    <row r="474" spans="1:3">
      <c r="A474">
        <v>448</v>
      </c>
      <c r="B474">
        <v>4.6585187480264416</v>
      </c>
      <c r="C474">
        <v>-0.74989432316833593</v>
      </c>
    </row>
    <row r="475" spans="1:3">
      <c r="A475">
        <v>449</v>
      </c>
      <c r="B475">
        <v>5.2932343927004828</v>
      </c>
      <c r="C475">
        <v>4.8463125502755666E-2</v>
      </c>
    </row>
    <row r="476" spans="1:3">
      <c r="A476">
        <v>450</v>
      </c>
      <c r="B476">
        <v>4.6568906484739863</v>
      </c>
      <c r="C476">
        <v>-0.89883109072870937</v>
      </c>
    </row>
    <row r="477" spans="1:3">
      <c r="A477">
        <v>451</v>
      </c>
      <c r="B477">
        <v>5.3287574377073366</v>
      </c>
      <c r="C477">
        <v>5.1195606290083795E-2</v>
      </c>
    </row>
    <row r="478" spans="1:3">
      <c r="A478">
        <v>452</v>
      </c>
      <c r="B478">
        <v>4.8516340004195531</v>
      </c>
      <c r="C478">
        <v>-0.21188727929525975</v>
      </c>
    </row>
    <row r="479" spans="1:3">
      <c r="A479">
        <v>453</v>
      </c>
      <c r="B479">
        <v>4.282878996892256</v>
      </c>
      <c r="C479">
        <v>-0.73236876688601527</v>
      </c>
    </row>
    <row r="480" spans="1:3">
      <c r="A480">
        <v>454</v>
      </c>
      <c r="B480">
        <v>5.0110300715964051</v>
      </c>
      <c r="C480">
        <v>0.66170249536204651</v>
      </c>
    </row>
    <row r="481" spans="1:3">
      <c r="A481">
        <v>455</v>
      </c>
      <c r="B481">
        <v>4.7709967687767305</v>
      </c>
      <c r="C481">
        <v>-0.17193363207314594</v>
      </c>
    </row>
    <row r="482" spans="1:3">
      <c r="A482">
        <v>456</v>
      </c>
      <c r="B482">
        <v>4.6289320165755958</v>
      </c>
      <c r="C482">
        <v>-0.73158543555105293</v>
      </c>
    </row>
    <row r="483" spans="1:3">
      <c r="A483">
        <v>457</v>
      </c>
      <c r="B483">
        <v>4.8028356684831373</v>
      </c>
      <c r="C483">
        <v>0.44378652182529166</v>
      </c>
    </row>
    <row r="484" spans="1:3">
      <c r="A484">
        <v>458</v>
      </c>
      <c r="B484">
        <v>4.4772386495212606</v>
      </c>
      <c r="C484">
        <v>0.42879851103330058</v>
      </c>
    </row>
    <row r="485" spans="1:3">
      <c r="A485">
        <v>459</v>
      </c>
      <c r="B485">
        <v>5.2374639272160124</v>
      </c>
      <c r="C485">
        <v>0.44385235968429804</v>
      </c>
    </row>
    <row r="486" spans="1:3">
      <c r="A486">
        <v>460</v>
      </c>
      <c r="B486">
        <v>4.5090285978787108</v>
      </c>
      <c r="C486">
        <v>-0.61542040807473608</v>
      </c>
    </row>
    <row r="487" spans="1:3">
      <c r="A487">
        <v>461</v>
      </c>
      <c r="B487">
        <v>4.4770970183622429</v>
      </c>
      <c r="C487">
        <v>9.5107265218543624E-2</v>
      </c>
    </row>
    <row r="488" spans="1:3">
      <c r="A488">
        <v>462</v>
      </c>
      <c r="B488">
        <v>4.5703195282585494</v>
      </c>
      <c r="C488">
        <v>-8.4384477499301447E-2</v>
      </c>
    </row>
    <row r="489" spans="1:3">
      <c r="A489">
        <v>463</v>
      </c>
      <c r="B489">
        <v>4.7013848845551083</v>
      </c>
      <c r="C489">
        <v>2.4369502119474085E-2</v>
      </c>
    </row>
    <row r="490" spans="1:3">
      <c r="A490">
        <v>464</v>
      </c>
      <c r="B490">
        <v>4.3638103046360683</v>
      </c>
      <c r="C490">
        <v>-7.303086378764867E-3</v>
      </c>
    </row>
    <row r="491" spans="1:3">
      <c r="A491">
        <v>465</v>
      </c>
      <c r="B491">
        <v>4.4696961127310129</v>
      </c>
      <c r="C491">
        <v>-0.37990641103555678</v>
      </c>
    </row>
    <row r="492" spans="1:3">
      <c r="A492">
        <v>466</v>
      </c>
      <c r="B492">
        <v>5.0322491107648659</v>
      </c>
      <c r="C492">
        <v>-0.24888135086381524</v>
      </c>
    </row>
    <row r="493" spans="1:3">
      <c r="A493">
        <v>467</v>
      </c>
      <c r="B493">
        <v>4.6483848815126292</v>
      </c>
      <c r="C493">
        <v>-3.5606340651072266E-2</v>
      </c>
    </row>
    <row r="494" spans="1:3">
      <c r="A494">
        <v>468</v>
      </c>
      <c r="B494">
        <v>4.7325985529275894</v>
      </c>
      <c r="C494">
        <v>-0.94487020285226953</v>
      </c>
    </row>
    <row r="495" spans="1:3">
      <c r="A495">
        <v>469</v>
      </c>
      <c r="B495">
        <v>4.6417427385877428</v>
      </c>
      <c r="C495">
        <v>0.87403541178720889</v>
      </c>
    </row>
    <row r="496" spans="1:3">
      <c r="A496">
        <v>470</v>
      </c>
      <c r="B496">
        <v>4.7954707728738502</v>
      </c>
      <c r="C496">
        <v>0.90418388645758885</v>
      </c>
    </row>
    <row r="497" spans="1:3">
      <c r="A497">
        <v>471</v>
      </c>
      <c r="B497">
        <v>4.7620945176981202</v>
      </c>
      <c r="C497">
        <v>-0.15399891764431661</v>
      </c>
    </row>
    <row r="498" spans="1:3">
      <c r="A498">
        <v>472</v>
      </c>
      <c r="B498">
        <v>5.0349762344962308</v>
      </c>
      <c r="C498">
        <v>0.86622031178408321</v>
      </c>
    </row>
    <row r="499" spans="1:3">
      <c r="A499">
        <v>473</v>
      </c>
      <c r="B499">
        <v>4.569448769177666</v>
      </c>
      <c r="C499">
        <v>0.48943119508464772</v>
      </c>
    </row>
    <row r="500" spans="1:3">
      <c r="A500">
        <v>474</v>
      </c>
      <c r="B500">
        <v>4.1395108348369352</v>
      </c>
      <c r="C500">
        <v>3.7138667671868575E-2</v>
      </c>
    </row>
    <row r="501" spans="1:3">
      <c r="A501">
        <v>475</v>
      </c>
      <c r="B501">
        <v>4.797582710927129</v>
      </c>
      <c r="C501">
        <v>0.23862700882117593</v>
      </c>
    </row>
    <row r="502" spans="1:3">
      <c r="A502">
        <v>476</v>
      </c>
      <c r="B502">
        <v>5.0650048723831409</v>
      </c>
      <c r="C502">
        <v>0.56649193832882627</v>
      </c>
    </row>
    <row r="503" spans="1:3">
      <c r="A503">
        <v>477</v>
      </c>
      <c r="B503">
        <v>3.8258779470063815</v>
      </c>
      <c r="C503">
        <v>0.2193906370929084</v>
      </c>
    </row>
    <row r="504" spans="1:3">
      <c r="A504">
        <v>478</v>
      </c>
      <c r="B504">
        <v>4.5335846309220873</v>
      </c>
      <c r="C504">
        <v>0.32312536365901057</v>
      </c>
    </row>
    <row r="505" spans="1:3">
      <c r="A505">
        <v>479</v>
      </c>
      <c r="B505">
        <v>4.7785826440523129</v>
      </c>
      <c r="C505">
        <v>0.62202907141108543</v>
      </c>
    </row>
    <row r="506" spans="1:3">
      <c r="A506">
        <v>480</v>
      </c>
      <c r="B506">
        <v>4.7678135464912206</v>
      </c>
      <c r="C506">
        <v>-0.40565807286329125</v>
      </c>
    </row>
    <row r="507" spans="1:3">
      <c r="A507">
        <v>481</v>
      </c>
      <c r="B507">
        <v>4.5018527739511907</v>
      </c>
      <c r="C507">
        <v>0.32081892663352995</v>
      </c>
    </row>
    <row r="508" spans="1:3">
      <c r="A508">
        <v>482</v>
      </c>
      <c r="B508">
        <v>4.5431125189252421</v>
      </c>
      <c r="C508">
        <v>0.4852034767182456</v>
      </c>
    </row>
    <row r="509" spans="1:3">
      <c r="A509">
        <v>483</v>
      </c>
      <c r="B509">
        <v>4.5722160083009982</v>
      </c>
      <c r="C509">
        <v>0.27883615864997147</v>
      </c>
    </row>
    <row r="510" spans="1:3">
      <c r="A510">
        <v>484</v>
      </c>
      <c r="B510">
        <v>4.550577760718256</v>
      </c>
      <c r="C510">
        <v>-0.53014449719356893</v>
      </c>
    </row>
    <row r="511" spans="1:3">
      <c r="A511">
        <v>485</v>
      </c>
      <c r="B511">
        <v>4.3841358903965864</v>
      </c>
      <c r="C511">
        <v>0.35885019499641491</v>
      </c>
    </row>
    <row r="512" spans="1:3">
      <c r="A512">
        <v>486</v>
      </c>
      <c r="B512">
        <v>4.7949999888495514</v>
      </c>
      <c r="C512">
        <v>-0.71024907388517544</v>
      </c>
    </row>
    <row r="513" spans="1:3">
      <c r="A513">
        <v>487</v>
      </c>
      <c r="B513">
        <v>4.3523666600904543</v>
      </c>
      <c r="C513">
        <v>0.69812505510701772</v>
      </c>
    </row>
    <row r="514" spans="1:3">
      <c r="A514">
        <v>488</v>
      </c>
      <c r="B514">
        <v>4.0327737227937677</v>
      </c>
      <c r="C514">
        <v>-0.13135449955383693</v>
      </c>
    </row>
    <row r="515" spans="1:3">
      <c r="A515">
        <v>489</v>
      </c>
      <c r="B515">
        <v>3.9190415524177045</v>
      </c>
      <c r="C515">
        <v>-0.16921589272419801</v>
      </c>
    </row>
    <row r="516" spans="1:3">
      <c r="A516">
        <v>490</v>
      </c>
      <c r="B516">
        <v>4.2215757612712421</v>
      </c>
      <c r="C516">
        <v>-0.28347412763818713</v>
      </c>
    </row>
    <row r="517" spans="1:3">
      <c r="A517">
        <v>491</v>
      </c>
      <c r="B517">
        <v>4.104650072965045</v>
      </c>
      <c r="C517">
        <v>0.85460384757505103</v>
      </c>
    </row>
    <row r="518" spans="1:3">
      <c r="A518">
        <v>492</v>
      </c>
      <c r="B518">
        <v>4.4227239146143997</v>
      </c>
      <c r="C518">
        <v>-0.38900956862867542</v>
      </c>
    </row>
    <row r="519" spans="1:3">
      <c r="A519">
        <v>493</v>
      </c>
      <c r="B519">
        <v>4.7712200643150737</v>
      </c>
      <c r="C519">
        <v>0.41371856515985783</v>
      </c>
    </row>
    <row r="520" spans="1:3">
      <c r="A520">
        <v>494</v>
      </c>
      <c r="B520">
        <v>3.8119721558298174</v>
      </c>
      <c r="C520">
        <v>0.1679715752911255</v>
      </c>
    </row>
    <row r="521" spans="1:3">
      <c r="A521">
        <v>495</v>
      </c>
      <c r="B521">
        <v>4.0260033638322357</v>
      </c>
      <c r="C521">
        <v>0.86218663708286947</v>
      </c>
    </row>
    <row r="522" spans="1:3">
      <c r="A522">
        <v>496</v>
      </c>
      <c r="B522">
        <v>4.0195289490630399</v>
      </c>
      <c r="C522">
        <v>2.6817212625716458E-2</v>
      </c>
    </row>
    <row r="523" spans="1:3">
      <c r="A523">
        <v>497</v>
      </c>
      <c r="B523">
        <v>4.7513813042004802</v>
      </c>
      <c r="C523">
        <v>-0.41722550766878808</v>
      </c>
    </row>
    <row r="524" spans="1:3">
      <c r="A524">
        <v>498</v>
      </c>
      <c r="B524">
        <v>4.5796040615453562</v>
      </c>
      <c r="C524">
        <v>0.23316628786286753</v>
      </c>
    </row>
    <row r="525" spans="1:3">
      <c r="A525">
        <v>499</v>
      </c>
      <c r="B525">
        <v>4.8523615985012167</v>
      </c>
      <c r="C525">
        <v>0.88746672312392771</v>
      </c>
    </row>
    <row r="526" spans="1:3" ht="15" thickBot="1">
      <c r="A526" s="14">
        <v>500</v>
      </c>
      <c r="B526" s="14">
        <v>4.9282351830657092</v>
      </c>
      <c r="C526" s="14">
        <v>-0.13998136111963611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6F895-B2E9-4115-B9B0-02073783590D}">
  <dimension ref="C7:Q8"/>
  <sheetViews>
    <sheetView tabSelected="1" zoomScale="56" workbookViewId="0">
      <selection activeCell="W23" sqref="W23"/>
    </sheetView>
  </sheetViews>
  <sheetFormatPr defaultRowHeight="14.4"/>
  <cols>
    <col min="1" max="4" width="8.88671875" style="31"/>
    <col min="5" max="5" width="24.88671875" style="31" customWidth="1"/>
    <col min="6" max="6" width="22.44140625" style="31" customWidth="1"/>
    <col min="7" max="16384" width="8.88671875" style="31"/>
  </cols>
  <sheetData>
    <row r="7" spans="3:17" ht="21">
      <c r="C7" s="33" t="s">
        <v>78</v>
      </c>
      <c r="D7" s="33"/>
      <c r="E7" s="33"/>
      <c r="F7" s="33"/>
      <c r="G7" s="34"/>
      <c r="H7" s="33"/>
      <c r="I7" s="33"/>
      <c r="J7" s="33"/>
      <c r="K7" s="33"/>
      <c r="L7" s="33"/>
      <c r="M7" s="33"/>
      <c r="N7" s="33"/>
      <c r="O7" s="33"/>
      <c r="P7" s="33"/>
      <c r="Q7" s="33"/>
    </row>
    <row r="8" spans="3:17" ht="18">
      <c r="C8" s="35" t="s">
        <v>40</v>
      </c>
      <c r="D8" s="35">
        <v>0.200304926965403</v>
      </c>
      <c r="E8" s="35"/>
      <c r="F8" s="35"/>
      <c r="G8" s="35"/>
      <c r="H8" s="3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Pivot table</vt:lpstr>
      <vt:lpstr>Dashboard</vt:lpstr>
      <vt:lpstr>Model 1</vt:lpstr>
      <vt:lpstr>Model 2</vt:lpstr>
      <vt:lpstr>Model 3</vt:lpstr>
      <vt:lpstr>Model 4</vt:lpstr>
      <vt:lpstr>Residual plots for model</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 dhamija</dc:creator>
  <cp:lastModifiedBy>vanshika dhamija</cp:lastModifiedBy>
  <dcterms:created xsi:type="dcterms:W3CDTF">2026-09-17T08:09:01Z</dcterms:created>
  <dcterms:modified xsi:type="dcterms:W3CDTF">2026-09-28T08:49:01Z</dcterms:modified>
</cp:coreProperties>
</file>